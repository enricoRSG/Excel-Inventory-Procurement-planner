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78c284d12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e4aea01eb1b434f"/>
    <x:sheet xmlns:r="http://schemas.openxmlformats.org/officeDocument/2006/relationships" name="Dashboard" sheetId="2" r:id="Rbfbcb4f6316247a8"/>
    <x:sheet xmlns:r="http://schemas.openxmlformats.org/officeDocument/2006/relationships" name="SKU Master" sheetId="3" r:id="R73c6f55c1cfe4448"/>
    <x:sheet xmlns:r="http://schemas.openxmlformats.org/officeDocument/2006/relationships" name="Sales History" sheetId="4" r:id="R3ee9201c325f4df7"/>
    <x:sheet xmlns:r="http://schemas.openxmlformats.org/officeDocument/2006/relationships" name="Inventory" sheetId="5" r:id="R64550c55a6a04be3"/>
    <x:sheet xmlns:r="http://schemas.openxmlformats.org/officeDocument/2006/relationships" name="Forecast &amp; Reorder" sheetId="6" r:id="Rb07596ee12764846"/>
    <x:sheet xmlns:r="http://schemas.openxmlformats.org/officeDocument/2006/relationships" name="Purchase Orders" sheetId="7" r:id="R726852d95de44b30"/>
    <x:sheet xmlns:r="http://schemas.openxmlformats.org/officeDocument/2006/relationships" name="Quality Checks" sheetId="8" r:id="Rf2077e3ba7564e99"/>
    <x:sheet xmlns:r="http://schemas.openxmlformats.org/officeDocument/2006/relationships" name="Assumptions" sheetId="9" r:id="R1dd75c4e689a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m yyyy"/>
    <x:numFmt numFmtId="201" formatCode="0%"/>
    <x:numFmt numFmtId="202" formatCode="$#,##0.00"/>
    <x:numFmt numFmtId="203" formatCode="dd mmm yyyy"/>
    <x:numFmt numFmtId="204" formatCode="0.0"/>
    <x:numFmt numFmtId="205" formatCode="$#,##0"/>
    <x:numFmt numFmtId="206" formatCode="0.00"/>
    <x:numFmt numFmtId="207" formatCode="#,##0"/>
    <x:numFmt numFmtId="208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223049"/>
      <x:name val="Carlito"/>
    </x:font>
    <x:font>
      <x:b/>
      <x:sz val="11"/>
      <x:color rgb="FF15263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263D"/>
      </x:patternFill>
    </x:fill>
    <x:fill>
      <x:patternFill patternType="solid">
        <x:fgColor rgb="FF087E8B"/>
      </x:patternFill>
    </x:fill>
    <x:fill>
      <x:patternFill patternType="solid">
        <x:fgColor rgb="FFE9F4FF"/>
      </x:patternFill>
    </x:fill>
    <x:fill>
      <x:patternFill patternType="solid">
        <x:fgColor rgb="FFD6F5E7"/>
      </x:patternFill>
    </x:fill>
    <x:fill>
      <x:patternFill patternType="solid">
        <x:fgColor rgb="FFF1F5F9"/>
      </x:patternFill>
    </x:fill>
    <x:fill>
      <x:patternFill patternType="solid">
        <x:fgColor rgb="FFDDF5F4"/>
      </x:patternFill>
    </x:fill>
    <x:fill>
      <x:patternFill patternType="solid">
        <x:fgColor rgb="FFFFF0D6"/>
      </x:patternFill>
    </x:fill>
    <x:fill>
      <x:patternFill patternType="solid">
        <x:fgColor rgb="FF132A40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5" fontId="5" fillId="7" borderId="0" xfId="0" applyNumberFormat="1" applyFont="1" applyFill="1" applyBorder="1"/>
    <x:xf numFmtId="205" fontId="5" fillId="7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0" fillId="4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2" fillId="9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a6334289f4d63" /><Relationship Type="http://schemas.openxmlformats.org/officeDocument/2006/relationships/theme" Target="/xl/theme/theme1.xml" Id="Ra0305789ba1f4371" /><Relationship Type="http://schemas.openxmlformats.org/officeDocument/2006/relationships/sharedStrings" Target="/xl/sharedStrings.xml" Id="R9c1dc309e1fc40c6" /><Relationship Type="http://schemas.openxmlformats.org/officeDocument/2006/relationships/worksheet" Target="/xl/worksheets/sheet1.xml" Id="Rce4aea01eb1b434f" /><Relationship Type="http://schemas.openxmlformats.org/officeDocument/2006/relationships/worksheet" Target="/xl/worksheets/sheet2.xml" Id="Rbfbcb4f6316247a8" /><Relationship Type="http://schemas.openxmlformats.org/officeDocument/2006/relationships/worksheet" Target="/xl/worksheets/sheet3.xml" Id="R73c6f55c1cfe4448" /><Relationship Type="http://schemas.openxmlformats.org/officeDocument/2006/relationships/worksheet" Target="/xl/worksheets/sheet4.xml" Id="R3ee9201c325f4df7" /><Relationship Type="http://schemas.openxmlformats.org/officeDocument/2006/relationships/worksheet" Target="/xl/worksheets/sheet5.xml" Id="R64550c55a6a04be3" /><Relationship Type="http://schemas.openxmlformats.org/officeDocument/2006/relationships/worksheet" Target="/xl/worksheets/sheet6.xml" Id="Rb07596ee12764846" /><Relationship Type="http://schemas.openxmlformats.org/officeDocument/2006/relationships/worksheet" Target="/xl/worksheets/sheet7.xml" Id="R726852d95de44b30" /><Relationship Type="http://schemas.openxmlformats.org/officeDocument/2006/relationships/worksheet" Target="/xl/worksheets/sheet8.xml" Id="Rf2077e3ba7564e99" /><Relationship Type="http://schemas.openxmlformats.org/officeDocument/2006/relationships/worksheet" Target="/xl/worksheets/sheet9.xml" Id="R1dd75c4e689a45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4ef4f8cbc34679" /><Relationship Type="http://schemas.openxmlformats.org/officeDocument/2006/relationships/chart" Target="/xl/drawings/charts/chart2.xml" Id="R22dfc2db992f488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SKUs</c:v>
          </c:tx>
          <c:cat>
            <c:strRef>
              <c:f>'Dashboard'!$B$11:$B$14</c:f>
              <c:strCache>
                <c:ptCount val="0"/>
              </c:strCache>
            </c:strRef>
          </c:cat>
          <c:val>
            <c:numRef>
              <c:f>'Dashboard'!$C$11:$C$14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SKU status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SKUs</c:v>
          </c:tx>
          <c:cat>
            <c:strRef>
              <c:f>'Dashboard'!$B$11:$B$14</c:f>
              <c:strCache>
                <c:ptCount val="0"/>
              </c:strCache>
            </c:strRef>
          </c:cat>
          <c:val>
            <c:numRef>
              <c:f>'Dashboard'!$C$11:$C$14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ef4f8cbc34679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fc2db992f48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U_Master" displayName="SKU_Master" ref="A4:J34" headerRowCount="1" totalsRowCount="0" totalsRowShown="0">
  <x:tableColumns count="10">
    <x:tableColumn id="1" name="SKU"/>
    <x:tableColumn id="2" name="Product"/>
    <x:tableColumn id="3" name="Category"/>
    <x:tableColumn id="4" name="Supplier"/>
    <x:tableColumn id="5" name="Unit cost"/>
    <x:tableColumn id="6" name="Unit price"/>
    <x:tableColumn id="7" name="Lead time (days)"/>
    <x:tableColumn id="8" name="Pack multiple"/>
    <x:tableColumn id="9" name="MOQ (units)"/>
    <x:tableColumn id="10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_History" displayName="Sales_History" ref="A4:N34" headerRowCount="1" totalsRowCount="0" totalsRowShown="0">
  <x:tableColumns count="14">
    <x:tableColumn id="1" name="SKU"/>
    <x:tableColumn id="2" name="Oct 2025"/>
    <x:tableColumn id="3" name="Nov 2025"/>
    <x:tableColumn id="4" name="Dec 2025"/>
    <x:tableColumn id="5" name="Jan 2026"/>
    <x:tableColumn id="6" name="Feb 2026"/>
    <x:tableColumn id="7" name="Mar 2026"/>
    <x:tableColumn id="8" name="Apr 2026"/>
    <x:tableColumn id="9" name="May 2026"/>
    <x:tableColumn id="10" name="Jun 2026"/>
    <x:tableColumn id="11" name="Jul 2026"/>
    <x:tableColumn id="12" name="Aug 2026"/>
    <x:tableColumn id="13" name="Sep 2026"/>
    <x:tableColumn id="14" name="12M 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_Status" displayName="Inventory_Status" ref="A4:J34" headerRowCount="1" totalsRowCount="0" totalsRowShown="0">
  <x:tableColumns count="10">
    <x:tableColumn id="1" name="SKU"/>
    <x:tableColumn id="2" name="On hand"/>
    <x:tableColumn id="3" name="Inbound PO"/>
    <x:tableColumn id="4" name="Backorders"/>
    <x:tableColumn id="5" name="Reserved"/>
    <x:tableColumn id="6" name="Expiry &lt;=120d units"/>
    <x:tableColumn id="7" name="Next expiry date"/>
    <x:tableColumn id="8" name="Warehouse"/>
    <x:tableColumn id="9" name="Last count"/>
    <x:tableColumn id="10" name="Net availa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order_Engine" displayName="Reorder_Engine" ref="A4:U34" headerRowCount="1" totalsRowCount="0" totalsRowShown="0">
  <x:tableColumns count="21">
    <x:tableColumn id="1" name="SKU"/>
    <x:tableColumn id="2" name="Product"/>
    <x:tableColumn id="3" name="Category"/>
    <x:tableColumn id="4" name="Last 3M avg"/>
    <x:tableColumn id="5" name="Last 6M avg"/>
    <x:tableColumn id="6" name="Forecast / month"/>
    <x:tableColumn id="7" name="Forecast 6M"/>
    <x:tableColumn id="8" name="Available units"/>
    <x:tableColumn id="9" name="Coverage (months)"/>
    <x:tableColumn id="10" name="Lead demand"/>
    <x:tableColumn id="11" name="Target stock"/>
    <x:tableColumn id="12" name="Raw reorder"/>
    <x:tableColumn id="13" name="Suggested PO qty"/>
    <x:tableColumn id="14" name="Unit cost"/>
    <x:tableColumn id="15" name="PO value"/>
    <x:tableColumn id="16" name="Expiry units"/>
    <x:tableColumn id="17" name="Expiry flag"/>
    <x:tableColumn id="18" name="Excess units"/>
    <x:tableColumn id="19" name="Stock status"/>
    <x:tableColumn id="20" name="Supplier"/>
    <x:tableColumn id="21" name="Lead day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_Planner" displayName="PO_Planner" ref="A4:J34" headerRowCount="1" totalsRowCount="0" totalsRowShown="0">
  <x:tableColumns count="10">
    <x:tableColumn id="1" name="PO line"/>
    <x:tableColumn id="2" name="Supplier"/>
    <x:tableColumn id="3" name="SKU"/>
    <x:tableColumn id="4" name="Product"/>
    <x:tableColumn id="5" name="Buy units"/>
    <x:tableColumn id="6" name="Pack size"/>
    <x:tableColumn id="7" name="Unit cost"/>
    <x:tableColumn id="8" name="Line value"/>
    <x:tableColumn id="9" name="Action"/>
    <x:tableColumn id="10" name="Lead 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717dc0be38b4b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3be008f219844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dc9b63dc01c48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4d66e1042614d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919f133d75644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a73c7624dc443c2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4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5" customHeight="1">
      <x:c r="A1" s="3" t="str">
        <x:v>PORTFOLIO CASE STUDY  |  Inventory Planning &amp; Procurement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>
      <x:c r="A4" t="str">
        <x:v>PROJECT</x:v>
      </x:c>
      <x:c r="B4" t="str">
        <x:v>Inventory Intelligence &amp; Procurement Planner</x:v>
      </x:c>
    </x:row>
    <x:row r="6" ht="36" customHeight="1">
      <x:c r="A6" s="44" t="str">
        <x:v>Business challenge</x:v>
      </x:c>
      <x:c r="B6" s="46" t="str">
        <x:v>Balance service levels, working capital, supplier constraints, and expiry risk across 30 SKUs.</x:v>
      </x:c>
    </x:row>
    <x:row r="7" ht="36" customHeight="1">
      <x:c r="A7" s="44" t="str">
        <x:v>What this delivers</x:v>
      </x:c>
      <x:c r="B7" s="46" t="str">
        <x:v>12-month sales trend forecasting, stock coverage, pack-compliant purchase recommendations, exception flags and a financial dashboard.</x:v>
      </x:c>
    </x:row>
    <x:row r="8" ht="36" customHeight="1">
      <x:c r="A8" s="44" t="str">
        <x:v>Workflow</x:v>
      </x:c>
      <x:c r="B8" s="46" t="str">
        <x:v>1. Review Assumptions  →  2. Edit SKU Master + Sales History + Inventory  →  3. Read Forecast &amp; Reorder  →  4. Review Purchase Orders  →  5. Check Dashboard + Quality Checks.</x:v>
      </x:c>
    </x:row>
    <x:row r="9" ht="36" customHeight="1">
      <x:c r="A9" s="44" t="str">
        <x:v>Inputs (BLUE)</x:v>
      </x:c>
      <x:c r="B9" s="46" t="str">
        <x:v>SKU Master, Sales History, Inventory and Assumptions: editable blue-highlighted cells.</x:v>
      </x:c>
    </x:row>
    <x:row r="10" ht="36" customHeight="1">
      <x:c r="A10" s="44" t="str">
        <x:v>Outputs (FORMULAS)</x:v>
      </x:c>
      <x:c r="B10" s="46" t="str">
        <x:v>Forecast &amp; Reorder, Purchase Orders, Quality Checks and Dashboard.</x:v>
      </x:c>
    </x:row>
    <x:row r="11" ht="36" customHeight="1">
      <x:c r="A11" s="44" t="str">
        <x:v>Planning logic</x:v>
      </x:c>
      <x:c r="B11" s="46" t="str">
        <x:v>Blended 3M / 6M run rate; bounded demand trend; stock requirement includes target cover, safety stock and supplier lead-time demand.</x:v>
      </x:c>
    </x:row>
    <x:row r="12" ht="36" customHeight="1">
      <x:c r="A12" s="44" t="str">
        <x:v>Risk controls</x:v>
      </x:c>
      <x:c r="B12" s="46" t="str">
        <x:v>Critical lead-time shortfalls, under-target coverage, high excess, impending expiry, pack-size exceptions and basic data-quality checks.</x:v>
      </x:c>
    </x:row>
    <x:row r="13" ht="36" customHeight="1">
      <x:c r="A13" s="44" t="str">
        <x:v>Model scope</x:v>
      </x:c>
      <x:c r="B13" s="46" t="str">
        <x:v>Single planning snapshot. Purchase-order sheet is a decision support draft, not an ERP integration or executable PO.</x:v>
      </x:c>
    </x:row>
    <x:row r="14" ht="36" customHeight="1">
      <x:c r="A14" s="44" t="str">
        <x:v>Data integrity</x:v>
      </x:c>
      <x:c r="B14" s="46" t="str">
        <x:v>All data are synthetic / illustrative. USD values are demonstration amounts, not observed market prices.</x:v>
      </x:c>
    </x:row>
    <x:row r="15" ht="36" customHeight="1">
      <x:c r="A15" s="44" t="str">
        <x:v>Intended audience</x:v>
      </x:c>
      <x:c r="B15" s="46" t="str">
        <x:v>Supply chain analysts, operations managers, procurement teams and SMB inventory stakeholders.</x:v>
      </x:c>
    </x:row>
    <x:row r="16" ht="36" customHeight="1">
      <x:c r="A16" s="44" t="str">
        <x:v>Excel compatibility</x:v>
      </x:c>
      <x:c r="B16" s="46" t="str">
        <x:v>Excel 365/2021 recommended. No macros, external links, Power Query or add-ins required.</x:v>
      </x:c>
    </x:row>
    <x:row r="17" ht="36" customHeight="1">
      <x:c r="A17" s="44" t="str">
        <x:v>EXCEL FORMULA WARNINGS</x:v>
      </x:c>
      <x:c r="B17" s="46" t="str">
        <x:v>Averages intentionally use the last 3 months (K:M) and 6 months (H:M); Excel may flag adjacent sales columns even though the periods are correct.</x:v>
      </x:c>
    </x:row>
    <x:row r="18">
      <x:c r="A18" t="str">
        <x:v>PURCHASE PACKS</x:v>
      </x:c>
      <x:c r="B18" t="str">
        <x:v>Suggested purchase quantities are rounded up to complete supplier pack multiples after applying the supplier minimum order quantity.</x:v>
      </x:c>
    </x:row>
    <x:row r="19">
      <x:c r="A19" t="str">
        <x:v>QUALITY ASSURANCE</x:v>
      </x:c>
      <x:c r="B19" t="str">
        <x:v>11 live data-quality checks. PASS indicates the implemented checks are clear, not a guarantee against every possible data issue.</x:v>
      </x:c>
    </x:row>
    <x:row r="20" ht="29" customHeight="1">
      <x:c r="A20" s="49" t="str">
        <x:v>NO-DEMAND HANDLING</x:v>
      </x:c>
      <x:c r="B20" s="49" t="str">
        <x:v>SKUs with zero forecast do not trigger a replenishment order; unused available stock is flagged for review.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6" hidden="0" customWidth="1"/>
    <x:col min="3" max="3" width="19" hidden="0" customWidth="1"/>
    <x:col min="4" max="4" width="21" hidden="0" customWidth="1"/>
    <x:col min="5" max="5" width="29" hidden="0" customWidth="1"/>
    <x:col min="6" max="6" width="20" hidden="0" customWidth="1"/>
    <x:col min="7" max="7" width="5" hidden="0" customWidth="1"/>
    <x:col min="8" max="8" width="21" hidden="0" customWidth="1"/>
    <x:col min="9" max="9" width="15" hidden="0" customWidth="1"/>
    <x:col min="10" max="10" width="4" hidden="0" customWidth="1"/>
    <x:col min="11" max="11" width="24" hidden="0" customWidth="1"/>
    <x:col min="12" max="12" width="15" hidden="0" customWidth="1"/>
    <x:col min="13" max="13" width="13" hidden="0" customWidth="1"/>
    <x:col min="14" max="14" width="13" hidden="0" customWidth="1"/>
  </x:cols>
  <x:sheetData>
    <x:row r="1" ht="25" customHeight="1">
      <x:c r="A1" s="3" t="str">
        <x:v>INVENTORY CONTROL TOWER  |  October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22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 ht="29" customHeight="1">
      <x:c r="B5" s="37" t="str">
        <x:v>ACTIVE SKUs</x:v>
      </x:c>
      <x:c r="E5" s="37" t="str">
        <x:v>INVENTORY VALUE</x:v>
      </x:c>
      <x:c r="H5" s="37" t="str">
        <x:v>RECOMMENDED BUY</x:v>
      </x:c>
      <x:c r="K5" s="37" t="str">
        <x:v>AT-RISK SKUs</x:v>
      </x:c>
    </x:row>
    <x:row r="6" ht="29" customHeight="1">
      <x:c r="B6" s="37" t="n">
        <x:f>COUNTIF('SKU Master'!J5:J34,"Yes")</x:f>
        <x:v>30</x:v>
      </x:c>
      <x:c r="E6" s="40" t="n">
        <x:f>SUMPRODUCT(Inventory!B5:B34,'SKU Master'!E5:E34)</x:f>
        <x:v>389214.41000000003</x:v>
      </x:c>
      <x:c r="H6" s="40" t="n">
        <x:f>SUM('Forecast &amp; Reorder'!O5:O34)</x:f>
        <x:v>233187.60000000003</x:v>
      </x:c>
      <x:c r="K6" s="37" t="n">
        <x:f>COUNTIF('Forecast &amp; Reorder'!S5:S34,"CRITICAL")+COUNTIF('Forecast &amp; Reorder'!S5:S34,"REORDER")</x:f>
        <x:v>13</x:v>
      </x:c>
    </x:row>
    <x:row r="10" ht="35" customHeight="1">
      <x:c r="A10" s="9"/>
      <x:c r="B10" s="9" t="str">
        <x:v>STOCK STATUS</x:v>
      </x:c>
      <x:c r="C10" s="9" t="str">
        <x:v>SKUs</x:v>
      </x:c>
      <x:c r="D10" s="9"/>
      <x:c r="E10" s="9" t="str">
        <x:v>FINANCIAL EXPOSURE</x:v>
      </x:c>
      <x:c r="F10" s="9" t="str">
        <x:v>USD</x:v>
      </x:c>
    </x:row>
    <x:row r="11">
      <x:c r="B11" t="str">
        <x:v>CRITICAL</x:v>
      </x:c>
      <x:c r="C11" t="n">
        <x:f>COUNTIF('Forecast &amp; Reorder'!S5:S34,B11)</x:f>
        <x:v>1</x:v>
      </x:c>
      <x:c r="E11" t="str">
        <x:v>Inventory book value</x:v>
      </x:c>
      <x:c r="F11" s="42" t="n">
        <x:f>SUMPRODUCT(Inventory!B5:B34,'SKU Master'!E5:E34)</x:f>
        <x:v>389214.41000000003</x:v>
      </x:c>
    </x:row>
    <x:row r="12">
      <x:c r="B12" t="str">
        <x:v>REORDER</x:v>
      </x:c>
      <x:c r="C12" t="n">
        <x:f>COUNTIF('Forecast &amp; Reorder'!S5:S34,B12)</x:f>
        <x:v>12</x:v>
      </x:c>
      <x:c r="E12" t="str">
        <x:v>Planned replenishment</x:v>
      </x:c>
      <x:c r="F12" s="42" t="n">
        <x:f>SUM('Forecast &amp; Reorder'!O5:O34)</x:f>
        <x:v>233187.60000000003</x:v>
      </x:c>
    </x:row>
    <x:row r="13">
      <x:c r="B13" t="str">
        <x:v>HEALTHY</x:v>
      </x:c>
      <x:c r="C13" t="n">
        <x:f>COUNTIF('Forecast &amp; Reorder'!S5:S34,B13)</x:f>
        <x:v>10</x:v>
      </x:c>
      <x:c r="E13" t="str">
        <x:v>Excess stock value</x:v>
      </x:c>
      <x:c r="F13" s="42" t="n">
        <x:f>SUMPRODUCT('Forecast &amp; Reorder'!R5:R34,'SKU Master'!E5:E34)</x:f>
        <x:v>22363.100000000002</x:v>
      </x:c>
    </x:row>
    <x:row r="14">
      <x:c r="B14" t="str">
        <x:v>EXCESS</x:v>
      </x:c>
      <x:c r="C14" t="n">
        <x:f>COUNTIF('Forecast &amp; Reorder'!S5:S34,B14)</x:f>
        <x:v>7</x:v>
      </x:c>
      <x:c r="E14" t="str">
        <x:v>Expiry-exposed value</x:v>
      </x:c>
      <x:c r="F14" s="42" t="n">
        <x:f>SUMPRODUCT(Inventory!F5:F34,'SKU Master'!E5:E34)</x:f>
        <x:v>40151.51</x:v>
      </x:c>
    </x:row>
    <x:row r="15">
      <x:c r="B15" t="str">
        <x:v>TOTAL</x:v>
      </x:c>
      <x:c r="C15" t="n">
        <x:f>SUM(C11:C14)</x:f>
        <x:v>30</x:v>
      </x:c>
      <x:c r="E15" t="str">
        <x:v>Backorder exposure</x:v>
      </x:c>
      <x:c r="F15" s="42" t="n">
        <x:f>SUMPRODUCT(Inventory!D5:D34,'SKU Master'!E5:E34)</x:f>
        <x:v>6620.280000000001</x:v>
      </x:c>
    </x:row>
    <x:row r="16">
      <x:c r="E16" t="str"/>
      <x:c r="F16"/>
    </x:row>
    <x:row r="19" ht="26" customHeight="1">
      <x:c r="B19" s="7" t="str">
        <x:v>CATEGORY</x:v>
      </x:c>
      <x:c r="C19" s="7" t="str">
        <x:v>STOCK VALUE</x:v>
      </x:c>
      <x:c r="D19" s="7" t="str">
        <x:v>FORECAST / MO</x:v>
      </x:c>
      <x:c r="E19" s="7" t="str">
        <x:v>PROPOSED BUY</x:v>
      </x:c>
    </x:row>
    <x:row r="20">
      <x:c r="B20" t="str">
        <x:v>Beverages</x:v>
      </x:c>
      <x:c r="C20" s="42" t="n">
        <x:f>SUMPRODUCT(--('SKU Master'!C$5:C$34=B20),Inventory!B$5:B$34,'SKU Master'!E$5:E$34)</x:f>
        <x:v>63558.659999999996</x:v>
      </x:c>
      <x:c r="D20" t="n">
        <x:f>SUMIF('Forecast &amp; Reorder'!C$5:C$34,B20,'Forecast &amp; Reorder'!F$5:F$34)</x:f>
        <x:v>1133</x:v>
      </x:c>
      <x:c r="E20" s="42" t="n">
        <x:f>SUMIF('Forecast &amp; Reorder'!C$5:C$34,B20,'Forecast &amp; Reorder'!O$5:O$34)</x:f>
        <x:v>20793.48</x:v>
      </x:c>
    </x:row>
    <x:row r="21">
      <x:c r="B21" t="str">
        <x:v>Snacks</x:v>
      </x:c>
      <x:c r="C21" s="42" t="n">
        <x:f>SUMPRODUCT(--('SKU Master'!C$5:C$34=B21),Inventory!B$5:B$34,'SKU Master'!E$5:E$34)</x:f>
        <x:v>122347.63999999998</x:v>
      </x:c>
      <x:c r="D21" t="n">
        <x:f>SUMIF('Forecast &amp; Reorder'!C$5:C$34,B21,'Forecast &amp; Reorder'!F$5:F$34)</x:f>
        <x:v>1316</x:v>
      </x:c>
      <x:c r="E21" s="42" t="n">
        <x:f>SUMIF('Forecast &amp; Reorder'!C$5:C$34,B21,'Forecast &amp; Reorder'!O$5:O$34)</x:f>
        <x:v>58174.020000000004</x:v>
      </x:c>
    </x:row>
    <x:row r="22">
      <x:c r="B22" t="str">
        <x:v>Cleaning</x:v>
      </x:c>
      <x:c r="C22" s="42" t="n">
        <x:f>SUMPRODUCT(--('SKU Master'!C$5:C$34=B22),Inventory!B$5:B$34,'SKU Master'!E$5:E$34)</x:f>
        <x:v>70916.47</x:v>
      </x:c>
      <x:c r="D22" t="n">
        <x:f>SUMIF('Forecast &amp; Reorder'!C$5:C$34,B22,'Forecast &amp; Reorder'!F$5:F$34)</x:f>
        <x:v>1020</x:v>
      </x:c>
      <x:c r="E22" s="42" t="n">
        <x:f>SUMIF('Forecast &amp; Reorder'!C$5:C$34,B22,'Forecast &amp; Reorder'!O$5:O$34)</x:f>
        <x:v>66148.02</x:v>
      </x:c>
    </x:row>
    <x:row r="23">
      <x:c r="B23" t="str">
        <x:v>Office</x:v>
      </x:c>
      <x:c r="C23" s="42" t="n">
        <x:f>SUMPRODUCT(--('SKU Master'!C$5:C$34=B23),Inventory!B$5:B$34,'SKU Master'!E$5:E$34)</x:f>
        <x:v>84222.57</x:v>
      </x:c>
      <x:c r="D23" t="n">
        <x:f>SUMIF('Forecast &amp; Reorder'!C$5:C$34,B23,'Forecast &amp; Reorder'!F$5:F$34)</x:f>
        <x:v>1022</x:v>
      </x:c>
      <x:c r="E23" s="42" t="n">
        <x:f>SUMIF('Forecast &amp; Reorder'!C$5:C$34,B23,'Forecast &amp; Reorder'!O$5:O$34)</x:f>
        <x:v>62868.96000000001</x:v>
      </x:c>
    </x:row>
    <x:row r="24">
      <x:c r="B24" t="str">
        <x:v>Personal Care</x:v>
      </x:c>
      <x:c r="C24" s="42" t="n">
        <x:f>SUMPRODUCT(--('SKU Master'!C$5:C$34=B24),Inventory!B$5:B$34,'SKU Master'!E$5:E$34)</x:f>
        <x:v>48169.07000000001</x:v>
      </x:c>
      <x:c r="D24" t="n">
        <x:f>SUMIF('Forecast &amp; Reorder'!C$5:C$34,B24,'Forecast &amp; Reorder'!F$5:F$34)</x:f>
        <x:v>863</x:v>
      </x:c>
      <x:c r="E24" s="42" t="n">
        <x:f>SUMIF('Forecast &amp; Reorder'!C$5:C$34,B24,'Forecast &amp; Reorder'!O$5:O$34)</x:f>
        <x:v>25203.12</x:v>
      </x:c>
    </x:row>
    <x:row r="27">
      <x:c r="B27" t="str">
        <x:v>OPERATING NOTES</x:v>
      </x:c>
    </x:row>
    <x:row r="28">
      <x:c r="B28" t="str">
        <x:v>Blue cells on source tabs are editable; every KPI updates through Excel formulas.</x:v>
      </x:c>
    </x:row>
    <x:row r="29">
      <x:c r="B29" t="str">
        <x:v>Purchase suggestions are planning outputs, not approved or placed orders.</x:v>
      </x:c>
    </x:row>
    <x:row r="30">
      <x:c r="B30" t="str">
        <x:v>Synthetic demonstration data. No client information or real transactions.</x:v>
      </x:c>
    </x:row>
  </x:sheetData>
  <x:mergeCells>
    <x:mergeCell ref="A1:N2"/>
  </x:mergeCells>
  <x:pageMargins left="0.7" right="0.7" top="0.75" bottom="0.75" header="0.3" footer="0.3"/>
  <x:drawing xmlns:r="http://schemas.openxmlformats.org/officeDocument/2006/relationships" r:id="Re717dc0be38b4b3d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9" hidden="0" customWidth="1"/>
    <x:col min="4" max="4" width="26" hidden="0" customWidth="1"/>
    <x:col min="5" max="5" width="16" hidden="0" customWidth="1"/>
    <x:col min="6" max="6" width="16" hidden="0" customWidth="1"/>
    <x:col min="7" max="7" width="21" hidden="0" customWidth="1"/>
    <x:col min="8" max="8" width="19" hidden="0" customWidth="1"/>
    <x:col min="9" max="9" width="18" hidden="0" customWidth="1"/>
    <x:col min="10" max="10" width="14" hidden="0" customWidth="1"/>
  </x:cols>
  <x:sheetData>
    <x:row r="1" ht="25" customHeight="1">
      <x:c r="A1" s="3" t="str">
        <x:v>PRODUCT MASTER  |  30 demonstration SKUs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35" customHeight="1">
      <x:c r="A4" s="9" t="str">
        <x:v>SKU</x:v>
      </x:c>
      <x:c r="B4" s="9" t="str">
        <x:v>Product</x:v>
      </x:c>
      <x:c r="C4" s="9" t="str">
        <x:v>Category</x:v>
      </x:c>
      <x:c r="D4" s="9" t="str">
        <x:v>Supplier</x:v>
      </x:c>
      <x:c r="E4" s="9" t="str">
        <x:v>Unit cost</x:v>
      </x:c>
      <x:c r="F4" s="9" t="str">
        <x:v>Unit price</x:v>
      </x:c>
      <x:c r="G4" s="9" t="str">
        <x:v>Lead time (days)</x:v>
      </x:c>
      <x:c r="H4" s="9" t="str">
        <x:v>Pack multiple</x:v>
      </x:c>
      <x:c r="I4" s="9" t="str">
        <x:v>MOQ (units)</x:v>
      </x:c>
      <x:c r="J4" s="9" t="str">
        <x:v>Active</x:v>
      </x:c>
    </x:row>
    <x:row r="5">
      <x:c r="A5" s="14" t="str">
        <x:v>SKU-001</x:v>
      </x:c>
      <x:c r="B5" s="14" t="str">
        <x:v>Sparkling Water 500ml</x:v>
      </x:c>
      <x:c r="C5" s="14" t="str">
        <x:v>Beverages</x:v>
      </x:c>
      <x:c r="D5" s="14" t="str">
        <x:v>Northstar Supply</x:v>
      </x:c>
      <x:c r="E5" s="22" t="n">
        <x:v>13.81</x:v>
      </x:c>
      <x:c r="F5" s="22" t="n">
        <x:v>23.49</x:v>
      </x:c>
      <x:c r="G5" s="14" t="n">
        <x:v>21</x:v>
      </x:c>
      <x:c r="H5" s="14" t="n">
        <x:v>24</x:v>
      </x:c>
      <x:c r="I5" s="14" t="n">
        <x:v>24</x:v>
      </x:c>
      <x:c r="J5" s="14" t="str">
        <x:v>Yes</x:v>
      </x:c>
    </x:row>
    <x:row r="6">
      <x:c r="A6" s="14" t="str">
        <x:v>SKU-002</x:v>
      </x:c>
      <x:c r="B6" s="14" t="str">
        <x:v>Still Water 1L</x:v>
      </x:c>
      <x:c r="C6" s="14" t="str">
        <x:v>Beverages</x:v>
      </x:c>
      <x:c r="D6" s="14" t="str">
        <x:v>Meridian Imports</x:v>
      </x:c>
      <x:c r="E6" s="22" t="n">
        <x:v>13.53</x:v>
      </x:c>
      <x:c r="F6" s="22" t="n">
        <x:v>23.8</x:v>
      </x:c>
      <x:c r="G6" s="14" t="n">
        <x:v>21</x:v>
      </x:c>
      <x:c r="H6" s="14" t="n">
        <x:v>24</x:v>
      </x:c>
      <x:c r="I6" s="14" t="n">
        <x:v>24</x:v>
      </x:c>
      <x:c r="J6" s="14" t="str">
        <x:v>Yes</x:v>
      </x:c>
    </x:row>
    <x:row r="7">
      <x:c r="A7" s="14" t="str">
        <x:v>SKU-003</x:v>
      </x:c>
      <x:c r="B7" s="14" t="str">
        <x:v>Cold Brew Coffee</x:v>
      </x:c>
      <x:c r="C7" s="14" t="str">
        <x:v>Beverages</x:v>
      </x:c>
      <x:c r="D7" s="14" t="str">
        <x:v>Blue Ridge Wholesale</x:v>
      </x:c>
      <x:c r="E7" s="22" t="n">
        <x:v>3.64</x:v>
      </x:c>
      <x:c r="F7" s="22" t="n">
        <x:v>6.16</x:v>
      </x:c>
      <x:c r="G7" s="14" t="n">
        <x:v>7</x:v>
      </x:c>
      <x:c r="H7" s="14" t="n">
        <x:v>6</x:v>
      </x:c>
      <x:c r="I7" s="14" t="n">
        <x:v>6</x:v>
      </x:c>
      <x:c r="J7" s="14" t="str">
        <x:v>Yes</x:v>
      </x:c>
    </x:row>
    <x:row r="8">
      <x:c r="A8" s="14" t="str">
        <x:v>SKU-004</x:v>
      </x:c>
      <x:c r="B8" s="14" t="str">
        <x:v>Green Tea 330ml</x:v>
      </x:c>
      <x:c r="C8" s="14" t="str">
        <x:v>Beverages</x:v>
      </x:c>
      <x:c r="D8" s="14" t="str">
        <x:v>Apex Trading</x:v>
      </x:c>
      <x:c r="E8" s="22" t="n">
        <x:v>2.32</x:v>
      </x:c>
      <x:c r="F8" s="22" t="n">
        <x:v>4.78</x:v>
      </x:c>
      <x:c r="G8" s="14" t="n">
        <x:v>21</x:v>
      </x:c>
      <x:c r="H8" s="14" t="n">
        <x:v>24</x:v>
      </x:c>
      <x:c r="I8" s="14" t="n">
        <x:v>72</x:v>
      </x:c>
      <x:c r="J8" s="14" t="str">
        <x:v>Yes</x:v>
      </x:c>
    </x:row>
    <x:row r="9">
      <x:c r="A9" s="14" t="str">
        <x:v>SKU-005</x:v>
      </x:c>
      <x:c r="B9" s="14" t="str">
        <x:v>Orange Juice 1L</x:v>
      </x:c>
      <x:c r="C9" s="14" t="str">
        <x:v>Beverages</x:v>
      </x:c>
      <x:c r="D9" s="14" t="str">
        <x:v>Evergreen Distribution</x:v>
      </x:c>
      <x:c r="E9" s="22" t="n">
        <x:v>20.18</x:v>
      </x:c>
      <x:c r="F9" s="22" t="n">
        <x:v>41.21</x:v>
      </x:c>
      <x:c r="G9" s="14" t="n">
        <x:v>14</x:v>
      </x:c>
      <x:c r="H9" s="14" t="n">
        <x:v>24</x:v>
      </x:c>
      <x:c r="I9" s="14" t="n">
        <x:v>72</x:v>
      </x:c>
      <x:c r="J9" s="14" t="str">
        <x:v>Yes</x:v>
      </x:c>
    </x:row>
    <x:row r="10">
      <x:c r="A10" s="14" t="str">
        <x:v>SKU-006</x:v>
      </x:c>
      <x:c r="B10" s="14" t="str">
        <x:v>Energy Drink 250ml</x:v>
      </x:c>
      <x:c r="C10" s="14" t="str">
        <x:v>Beverages</x:v>
      </x:c>
      <x:c r="D10" s="14" t="str">
        <x:v>Northstar Supply</x:v>
      </x:c>
      <x:c r="E10" s="22" t="n">
        <x:v>16.29</x:v>
      </x:c>
      <x:c r="F10" s="22" t="n">
        <x:v>25.52</x:v>
      </x:c>
      <x:c r="G10" s="14" t="n">
        <x:v>28</x:v>
      </x:c>
      <x:c r="H10" s="14" t="n">
        <x:v>12</x:v>
      </x:c>
      <x:c r="I10" s="14" t="n">
        <x:v>24</x:v>
      </x:c>
      <x:c r="J10" s="14" t="str">
        <x:v>Yes</x:v>
      </x:c>
    </x:row>
    <x:row r="11">
      <x:c r="A11" s="14" t="str">
        <x:v>SKU-007</x:v>
      </x:c>
      <x:c r="B11" s="14" t="str">
        <x:v>Protein Bar 50g</x:v>
      </x:c>
      <x:c r="C11" s="14" t="str">
        <x:v>Snacks</x:v>
      </x:c>
      <x:c r="D11" s="14" t="str">
        <x:v>Meridian Imports</x:v>
      </x:c>
      <x:c r="E11" s="22" t="n">
        <x:v>16.76</x:v>
      </x:c>
      <x:c r="F11" s="22" t="n">
        <x:v>26.3</x:v>
      </x:c>
      <x:c r="G11" s="14" t="n">
        <x:v>28</x:v>
      </x:c>
      <x:c r="H11" s="14" t="n">
        <x:v>12</x:v>
      </x:c>
      <x:c r="I11" s="14" t="n">
        <x:v>12</x:v>
      </x:c>
      <x:c r="J11" s="14" t="str">
        <x:v>Yes</x:v>
      </x:c>
    </x:row>
    <x:row r="12">
      <x:c r="A12" s="14" t="str">
        <x:v>SKU-008</x:v>
      </x:c>
      <x:c r="B12" s="14" t="str">
        <x:v>Granola Box 500g</x:v>
      </x:c>
      <x:c r="C12" s="14" t="str">
        <x:v>Snacks</x:v>
      </x:c>
      <x:c r="D12" s="14" t="str">
        <x:v>Blue Ridge Wholesale</x:v>
      </x:c>
      <x:c r="E12" s="22" t="n">
        <x:v>25.74</x:v>
      </x:c>
      <x:c r="F12" s="22" t="n">
        <x:v>42.4</x:v>
      </x:c>
      <x:c r="G12" s="14" t="n">
        <x:v>14</x:v>
      </x:c>
      <x:c r="H12" s="14" t="n">
        <x:v>24</x:v>
      </x:c>
      <x:c r="I12" s="14" t="n">
        <x:v>48</x:v>
      </x:c>
      <x:c r="J12" s="14" t="str">
        <x:v>Yes</x:v>
      </x:c>
    </x:row>
    <x:row r="13">
      <x:c r="A13" s="14" t="str">
        <x:v>SKU-009</x:v>
      </x:c>
      <x:c r="B13" s="14" t="str">
        <x:v>Mixed Nuts 250g</x:v>
      </x:c>
      <x:c r="C13" s="14" t="str">
        <x:v>Snacks</x:v>
      </x:c>
      <x:c r="D13" s="14" t="str">
        <x:v>Apex Trading</x:v>
      </x:c>
      <x:c r="E13" s="22" t="n">
        <x:v>21.11</x:v>
      </x:c>
      <x:c r="F13" s="22" t="n">
        <x:v>32.45</x:v>
      </x:c>
      <x:c r="G13" s="14" t="n">
        <x:v>35</x:v>
      </x:c>
      <x:c r="H13" s="14" t="n">
        <x:v>6</x:v>
      </x:c>
      <x:c r="I13" s="14" t="n">
        <x:v>18</x:v>
      </x:c>
      <x:c r="J13" s="14" t="str">
        <x:v>Yes</x:v>
      </x:c>
    </x:row>
    <x:row r="14">
      <x:c r="A14" s="14" t="str">
        <x:v>SKU-010</x:v>
      </x:c>
      <x:c r="B14" s="14" t="str">
        <x:v>Crackers 200g</x:v>
      </x:c>
      <x:c r="C14" s="14" t="str">
        <x:v>Snacks</x:v>
      </x:c>
      <x:c r="D14" s="14" t="str">
        <x:v>Evergreen Distribution</x:v>
      </x:c>
      <x:c r="E14" s="22" t="n">
        <x:v>6.4</x:v>
      </x:c>
      <x:c r="F14" s="22" t="n">
        <x:v>9.4</x:v>
      </x:c>
      <x:c r="G14" s="14" t="n">
        <x:v>28</x:v>
      </x:c>
      <x:c r="H14" s="14" t="n">
        <x:v>12</x:v>
      </x:c>
      <x:c r="I14" s="14" t="n">
        <x:v>24</x:v>
      </x:c>
      <x:c r="J14" s="14" t="str">
        <x:v>Yes</x:v>
      </x:c>
    </x:row>
    <x:row r="15">
      <x:c r="A15" s="14" t="str">
        <x:v>SKU-011</x:v>
      </x:c>
      <x:c r="B15" s="14" t="str">
        <x:v>Dark Chocolate 100g</x:v>
      </x:c>
      <x:c r="C15" s="14" t="str">
        <x:v>Snacks</x:v>
      </x:c>
      <x:c r="D15" s="14" t="str">
        <x:v>Northstar Supply</x:v>
      </x:c>
      <x:c r="E15" s="22" t="n">
        <x:v>18.92</x:v>
      </x:c>
      <x:c r="F15" s="22" t="n">
        <x:v>37.26</x:v>
      </x:c>
      <x:c r="G15" s="14" t="n">
        <x:v>7</x:v>
      </x:c>
      <x:c r="H15" s="14" t="n">
        <x:v>24</x:v>
      </x:c>
      <x:c r="I15" s="14" t="n">
        <x:v>72</x:v>
      </x:c>
      <x:c r="J15" s="14" t="str">
        <x:v>Yes</x:v>
      </x:c>
    </x:row>
    <x:row r="16">
      <x:c r="A16" s="14" t="str">
        <x:v>SKU-012</x:v>
      </x:c>
      <x:c r="B16" s="14" t="str">
        <x:v>Fruit Snack Pack</x:v>
      </x:c>
      <x:c r="C16" s="14" t="str">
        <x:v>Snacks</x:v>
      </x:c>
      <x:c r="D16" s="14" t="str">
        <x:v>Meridian Imports</x:v>
      </x:c>
      <x:c r="E16" s="22" t="n">
        <x:v>30.81</x:v>
      </x:c>
      <x:c r="F16" s="22" t="n">
        <x:v>48.03</x:v>
      </x:c>
      <x:c r="G16" s="14" t="n">
        <x:v>35</x:v>
      </x:c>
      <x:c r="H16" s="14" t="n">
        <x:v>12</x:v>
      </x:c>
      <x:c r="I16" s="14" t="n">
        <x:v>36</x:v>
      </x:c>
      <x:c r="J16" s="14" t="str">
        <x:v>Yes</x:v>
      </x:c>
    </x:row>
    <x:row r="17">
      <x:c r="A17" s="14" t="str">
        <x:v>SKU-013</x:v>
      </x:c>
      <x:c r="B17" s="14" t="str">
        <x:v>Dish Soap 750ml</x:v>
      </x:c>
      <x:c r="C17" s="14" t="str">
        <x:v>Cleaning</x:v>
      </x:c>
      <x:c r="D17" s="14" t="str">
        <x:v>Blue Ridge Wholesale</x:v>
      </x:c>
      <x:c r="E17" s="22" t="n">
        <x:v>9.45</x:v>
      </x:c>
      <x:c r="F17" s="22" t="n">
        <x:v>18.15</x:v>
      </x:c>
      <x:c r="G17" s="14" t="n">
        <x:v>21</x:v>
      </x:c>
      <x:c r="H17" s="14" t="n">
        <x:v>24</x:v>
      </x:c>
      <x:c r="I17" s="14" t="n">
        <x:v>24</x:v>
      </x:c>
      <x:c r="J17" s="14" t="str">
        <x:v>Yes</x:v>
      </x:c>
    </x:row>
    <x:row r="18">
      <x:c r="A18" s="14" t="str">
        <x:v>SKU-014</x:v>
      </x:c>
      <x:c r="B18" s="14" t="str">
        <x:v>All-Purpose Cleaner</x:v>
      </x:c>
      <x:c r="C18" s="14" t="str">
        <x:v>Cleaning</x:v>
      </x:c>
      <x:c r="D18" s="14" t="str">
        <x:v>Apex Trading</x:v>
      </x:c>
      <x:c r="E18" s="22" t="n">
        <x:v>13.84</x:v>
      </x:c>
      <x:c r="F18" s="22" t="n">
        <x:v>27.83</x:v>
      </x:c>
      <x:c r="G18" s="14" t="n">
        <x:v>10</x:v>
      </x:c>
      <x:c r="H18" s="14" t="n">
        <x:v>24</x:v>
      </x:c>
      <x:c r="I18" s="14" t="n">
        <x:v>72</x:v>
      </x:c>
      <x:c r="J18" s="14" t="str">
        <x:v>Yes</x:v>
      </x:c>
    </x:row>
    <x:row r="19">
      <x:c r="A19" s="14" t="str">
        <x:v>SKU-015</x:v>
      </x:c>
      <x:c r="B19" s="14" t="str">
        <x:v>Laundry Detergent 2L</x:v>
      </x:c>
      <x:c r="C19" s="14" t="str">
        <x:v>Cleaning</x:v>
      </x:c>
      <x:c r="D19" s="14" t="str">
        <x:v>Evergreen Distribution</x:v>
      </x:c>
      <x:c r="E19" s="22" t="n">
        <x:v>32.45</x:v>
      </x:c>
      <x:c r="F19" s="22" t="n">
        <x:v>53.54</x:v>
      </x:c>
      <x:c r="G19" s="14" t="n">
        <x:v>28</x:v>
      </x:c>
      <x:c r="H19" s="14" t="n">
        <x:v>6</x:v>
      </x:c>
      <x:c r="I19" s="14" t="n">
        <x:v>6</x:v>
      </x:c>
      <x:c r="J19" s="14" t="str">
        <x:v>Yes</x:v>
      </x:c>
    </x:row>
    <x:row r="20">
      <x:c r="A20" s="14" t="str">
        <x:v>SKU-016</x:v>
      </x:c>
      <x:c r="B20" s="14" t="str">
        <x:v>Hand Sanitizer 500ml</x:v>
      </x:c>
      <x:c r="C20" s="14" t="str">
        <x:v>Cleaning</x:v>
      </x:c>
      <x:c r="D20" s="14" t="str">
        <x:v>Northstar Supply</x:v>
      </x:c>
      <x:c r="E20" s="22" t="n">
        <x:v>18.13</x:v>
      </x:c>
      <x:c r="F20" s="22" t="n">
        <x:v>32.52</x:v>
      </x:c>
      <x:c r="G20" s="14" t="n">
        <x:v>21</x:v>
      </x:c>
      <x:c r="H20" s="14" t="n">
        <x:v>12</x:v>
      </x:c>
      <x:c r="I20" s="14" t="n">
        <x:v>12</x:v>
      </x:c>
      <x:c r="J20" s="14" t="str">
        <x:v>Yes</x:v>
      </x:c>
    </x:row>
    <x:row r="21">
      <x:c r="A21" s="14" t="str">
        <x:v>SKU-017</x:v>
      </x:c>
      <x:c r="B21" s="14" t="str">
        <x:v>Paper Towels 6pk</x:v>
      </x:c>
      <x:c r="C21" s="14" t="str">
        <x:v>Cleaning</x:v>
      </x:c>
      <x:c r="D21" s="14" t="str">
        <x:v>Meridian Imports</x:v>
      </x:c>
      <x:c r="E21" s="22" t="n">
        <x:v>33.19</x:v>
      </x:c>
      <x:c r="F21" s="22" t="n">
        <x:v>58.53</x:v>
      </x:c>
      <x:c r="G21" s="14" t="n">
        <x:v>10</x:v>
      </x:c>
      <x:c r="H21" s="14" t="n">
        <x:v>24</x:v>
      </x:c>
      <x:c r="I21" s="14" t="n">
        <x:v>24</x:v>
      </x:c>
      <x:c r="J21" s="14" t="str">
        <x:v>Yes</x:v>
      </x:c>
    </x:row>
    <x:row r="22">
      <x:c r="A22" s="14" t="str">
        <x:v>SKU-018</x:v>
      </x:c>
      <x:c r="B22" s="14" t="str">
        <x:v>Surface Wipes 80ct</x:v>
      </x:c>
      <x:c r="C22" s="14" t="str">
        <x:v>Cleaning</x:v>
      </x:c>
      <x:c r="D22" s="14" t="str">
        <x:v>Blue Ridge Wholesale</x:v>
      </x:c>
      <x:c r="E22" s="22" t="n">
        <x:v>6.03</x:v>
      </x:c>
      <x:c r="F22" s="22" t="n">
        <x:v>11.99</x:v>
      </x:c>
      <x:c r="G22" s="14" t="n">
        <x:v>21</x:v>
      </x:c>
      <x:c r="H22" s="14" t="n">
        <x:v>12</x:v>
      </x:c>
      <x:c r="I22" s="14" t="n">
        <x:v>36</x:v>
      </x:c>
      <x:c r="J22" s="14" t="str">
        <x:v>Yes</x:v>
      </x:c>
    </x:row>
    <x:row r="23">
      <x:c r="A23" s="14" t="str">
        <x:v>SKU-019</x:v>
      </x:c>
      <x:c r="B23" s="14" t="str">
        <x:v>Printer Paper A4</x:v>
      </x:c>
      <x:c r="C23" s="14" t="str">
        <x:v>Office</x:v>
      </x:c>
      <x:c r="D23" s="14" t="str">
        <x:v>Apex Trading</x:v>
      </x:c>
      <x:c r="E23" s="22" t="n">
        <x:v>10.58</x:v>
      </x:c>
      <x:c r="F23" s="22" t="n">
        <x:v>19.28</x:v>
      </x:c>
      <x:c r="G23" s="14" t="n">
        <x:v>28</x:v>
      </x:c>
      <x:c r="H23" s="14" t="n">
        <x:v>6</x:v>
      </x:c>
      <x:c r="I23" s="14" t="n">
        <x:v>12</x:v>
      </x:c>
      <x:c r="J23" s="14" t="str">
        <x:v>Yes</x:v>
      </x:c>
    </x:row>
    <x:row r="24">
      <x:c r="A24" s="14" t="str">
        <x:v>SKU-020</x:v>
      </x:c>
      <x:c r="B24" s="14" t="str">
        <x:v>Blue Ballpoint Pens</x:v>
      </x:c>
      <x:c r="C24" s="14" t="str">
        <x:v>Office</x:v>
      </x:c>
      <x:c r="D24" s="14" t="str">
        <x:v>Evergreen Distribution</x:v>
      </x:c>
      <x:c r="E24" s="22" t="n">
        <x:v>16.82</x:v>
      </x:c>
      <x:c r="F24" s="22" t="n">
        <x:v>35.1</x:v>
      </x:c>
      <x:c r="G24" s="14" t="n">
        <x:v>28</x:v>
      </x:c>
      <x:c r="H24" s="14" t="n">
        <x:v>24</x:v>
      </x:c>
      <x:c r="I24" s="14" t="n">
        <x:v>72</x:v>
      </x:c>
      <x:c r="J24" s="14" t="str">
        <x:v>Yes</x:v>
      </x:c>
    </x:row>
    <x:row r="25">
      <x:c r="A25" s="14" t="str">
        <x:v>SKU-021</x:v>
      </x:c>
      <x:c r="B25" s="14" t="str">
        <x:v>Notebooks A5</x:v>
      </x:c>
      <x:c r="C25" s="14" t="str">
        <x:v>Office</x:v>
      </x:c>
      <x:c r="D25" s="14" t="str">
        <x:v>Northstar Supply</x:v>
      </x:c>
      <x:c r="E25" s="22" t="n">
        <x:v>28.6</x:v>
      </x:c>
      <x:c r="F25" s="22" t="n">
        <x:v>41.7</x:v>
      </x:c>
      <x:c r="G25" s="14" t="n">
        <x:v>14</x:v>
      </x:c>
      <x:c r="H25" s="14" t="n">
        <x:v>24</x:v>
      </x:c>
      <x:c r="I25" s="14" t="n">
        <x:v>24</x:v>
      </x:c>
      <x:c r="J25" s="14" t="str">
        <x:v>Yes</x:v>
      </x:c>
    </x:row>
    <x:row r="26">
      <x:c r="A26" s="14" t="str">
        <x:v>SKU-022</x:v>
      </x:c>
      <x:c r="B26" s="14" t="str">
        <x:v>Sticky Notes 100pk</x:v>
      </x:c>
      <x:c r="C26" s="14" t="str">
        <x:v>Office</x:v>
      </x:c>
      <x:c r="D26" s="14" t="str">
        <x:v>Meridian Imports</x:v>
      </x:c>
      <x:c r="E26" s="22" t="n">
        <x:v>28.87</x:v>
      </x:c>
      <x:c r="F26" s="22" t="n">
        <x:v>51.47</x:v>
      </x:c>
      <x:c r="G26" s="14" t="n">
        <x:v>21</x:v>
      </x:c>
      <x:c r="H26" s="14" t="n">
        <x:v>12</x:v>
      </x:c>
      <x:c r="I26" s="14" t="n">
        <x:v>36</x:v>
      </x:c>
      <x:c r="J26" s="14" t="str">
        <x:v>Yes</x:v>
      </x:c>
    </x:row>
    <x:row r="27">
      <x:c r="A27" s="14" t="str">
        <x:v>SKU-023</x:v>
      </x:c>
      <x:c r="B27" s="14" t="str">
        <x:v>Packing Tape 50m</x:v>
      </x:c>
      <x:c r="C27" s="14" t="str">
        <x:v>Office</x:v>
      </x:c>
      <x:c r="D27" s="14" t="str">
        <x:v>Blue Ridge Wholesale</x:v>
      </x:c>
      <x:c r="E27" s="22" t="n">
        <x:v>32.33</x:v>
      </x:c>
      <x:c r="F27" s="22" t="n">
        <x:v>46.01</x:v>
      </x:c>
      <x:c r="G27" s="14" t="n">
        <x:v>14</x:v>
      </x:c>
      <x:c r="H27" s="14" t="n">
        <x:v>24</x:v>
      </x:c>
      <x:c r="I27" s="14" t="n">
        <x:v>24</x:v>
      </x:c>
      <x:c r="J27" s="14" t="str">
        <x:v>Yes</x:v>
      </x:c>
    </x:row>
    <x:row r="28">
      <x:c r="A28" s="14" t="str">
        <x:v>SKU-024</x:v>
      </x:c>
      <x:c r="B28" s="14" t="str">
        <x:v>Shipping Labels 100pk</x:v>
      </x:c>
      <x:c r="C28" s="14" t="str">
        <x:v>Office</x:v>
      </x:c>
      <x:c r="D28" s="14" t="str">
        <x:v>Apex Trading</x:v>
      </x:c>
      <x:c r="E28" s="22" t="n">
        <x:v>22.2</x:v>
      </x:c>
      <x:c r="F28" s="22" t="n">
        <x:v>45.74</x:v>
      </x:c>
      <x:c r="G28" s="14" t="n">
        <x:v>21</x:v>
      </x:c>
      <x:c r="H28" s="14" t="n">
        <x:v>24</x:v>
      </x:c>
      <x:c r="I28" s="14" t="n">
        <x:v>72</x:v>
      </x:c>
      <x:c r="J28" s="14" t="str">
        <x:v>Yes</x:v>
      </x:c>
    </x:row>
    <x:row r="29">
      <x:c r="A29" s="14" t="str">
        <x:v>SKU-025</x:v>
      </x:c>
      <x:c r="B29" s="14" t="str">
        <x:v>Hand Cream 100ml</x:v>
      </x:c>
      <x:c r="C29" s="14" t="str">
        <x:v>Personal Care</x:v>
      </x:c>
      <x:c r="D29" s="14" t="str">
        <x:v>Evergreen Distribution</x:v>
      </x:c>
      <x:c r="E29" s="22" t="n">
        <x:v>23.17</x:v>
      </x:c>
      <x:c r="F29" s="22" t="n">
        <x:v>47.87</x:v>
      </x:c>
      <x:c r="G29" s="14" t="n">
        <x:v>7</x:v>
      </x:c>
      <x:c r="H29" s="14" t="n">
        <x:v>24</x:v>
      </x:c>
      <x:c r="I29" s="14" t="n">
        <x:v>24</x:v>
      </x:c>
      <x:c r="J29" s="14" t="str">
        <x:v>Yes</x:v>
      </x:c>
    </x:row>
    <x:row r="30">
      <x:c r="A30" s="14" t="str">
        <x:v>SKU-026</x:v>
      </x:c>
      <x:c r="B30" s="14" t="str">
        <x:v>Shampoo 400ml</x:v>
      </x:c>
      <x:c r="C30" s="14" t="str">
        <x:v>Personal Care</x:v>
      </x:c>
      <x:c r="D30" s="14" t="str">
        <x:v>Northstar Supply</x:v>
      </x:c>
      <x:c r="E30" s="22" t="n">
        <x:v>10.25</x:v>
      </x:c>
      <x:c r="F30" s="22" t="n">
        <x:v>16.83</x:v>
      </x:c>
      <x:c r="G30" s="14" t="n">
        <x:v>35</x:v>
      </x:c>
      <x:c r="H30" s="14" t="n">
        <x:v>6</x:v>
      </x:c>
      <x:c r="I30" s="14" t="n">
        <x:v>12</x:v>
      </x:c>
      <x:c r="J30" s="14" t="str">
        <x:v>Yes</x:v>
      </x:c>
    </x:row>
    <x:row r="31">
      <x:c r="A31" s="14" t="str">
        <x:v>SKU-027</x:v>
      </x:c>
      <x:c r="B31" s="14" t="str">
        <x:v>Toothpaste 100ml</x:v>
      </x:c>
      <x:c r="C31" s="14" t="str">
        <x:v>Personal Care</x:v>
      </x:c>
      <x:c r="D31" s="14" t="str">
        <x:v>Meridian Imports</x:v>
      </x:c>
      <x:c r="E31" s="22" t="n">
        <x:v>8.08</x:v>
      </x:c>
      <x:c r="F31" s="22" t="n">
        <x:v>16.52</x:v>
      </x:c>
      <x:c r="G31" s="14" t="n">
        <x:v>10</x:v>
      </x:c>
      <x:c r="H31" s="14" t="n">
        <x:v>6</x:v>
      </x:c>
      <x:c r="I31" s="14" t="n">
        <x:v>6</x:v>
      </x:c>
      <x:c r="J31" s="14" t="str">
        <x:v>Yes</x:v>
      </x:c>
    </x:row>
    <x:row r="32">
      <x:c r="A32" s="14" t="str">
        <x:v>SKU-028</x:v>
      </x:c>
      <x:c r="B32" s="14" t="str">
        <x:v>Hand Wash 500ml</x:v>
      </x:c>
      <x:c r="C32" s="14" t="str">
        <x:v>Personal Care</x:v>
      </x:c>
      <x:c r="D32" s="14" t="str">
        <x:v>Blue Ridge Wholesale</x:v>
      </x:c>
      <x:c r="E32" s="22" t="n">
        <x:v>6.77</x:v>
      </x:c>
      <x:c r="F32" s="22" t="n">
        <x:v>13.2</x:v>
      </x:c>
      <x:c r="G32" s="14" t="n">
        <x:v>14</x:v>
      </x:c>
      <x:c r="H32" s="14" t="n">
        <x:v>24</x:v>
      </x:c>
      <x:c r="I32" s="14" t="n">
        <x:v>24</x:v>
      </x:c>
      <x:c r="J32" s="14" t="str">
        <x:v>Yes</x:v>
      </x:c>
    </x:row>
    <x:row r="33">
      <x:c r="A33" s="14" t="str">
        <x:v>SKU-029</x:v>
      </x:c>
      <x:c r="B33" s="14" t="str">
        <x:v>Sunscreen SPF50</x:v>
      </x:c>
      <x:c r="C33" s="14" t="str">
        <x:v>Personal Care</x:v>
      </x:c>
      <x:c r="D33" s="14" t="str">
        <x:v>Apex Trading</x:v>
      </x:c>
      <x:c r="E33" s="22" t="n">
        <x:v>15.13</x:v>
      </x:c>
      <x:c r="F33" s="22" t="n">
        <x:v>24.01</x:v>
      </x:c>
      <x:c r="G33" s="14" t="n">
        <x:v>7</x:v>
      </x:c>
      <x:c r="H33" s="14" t="n">
        <x:v>24</x:v>
      </x:c>
      <x:c r="I33" s="14" t="n">
        <x:v>24</x:v>
      </x:c>
      <x:c r="J33" s="14" t="str">
        <x:v>Yes</x:v>
      </x:c>
    </x:row>
    <x:row r="34">
      <x:c r="A34" s="14" t="str">
        <x:v>SKU-030</x:v>
      </x:c>
      <x:c r="B34" s="14" t="str">
        <x:v>Lip Balm 15ml</x:v>
      </x:c>
      <x:c r="C34" s="14" t="str">
        <x:v>Personal Care</x:v>
      </x:c>
      <x:c r="D34" s="14" t="str">
        <x:v>Evergreen Distribution</x:v>
      </x:c>
      <x:c r="E34" s="22" t="n">
        <x:v>6.3</x:v>
      </x:c>
      <x:c r="F34" s="22" t="n">
        <x:v>9.12</x:v>
      </x:c>
      <x:c r="G34" s="14" t="n">
        <x:v>7</x:v>
      </x:c>
      <x:c r="H34" s="14" t="n">
        <x:v>12</x:v>
      </x:c>
      <x:c r="I34" s="14" t="n">
        <x:v>24</x:v>
      </x:c>
      <x:c r="J34" s="14" t="str">
        <x:v>Yes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33be008f2198444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8" hidden="0" customWidth="1"/>
  </x:cols>
  <x:sheetData>
    <x:row r="1" ht="25" customHeight="1">
      <x:c r="A1" s="3" t="str">
        <x:v>SALES HISTORY  |  12 months × 30 SKUs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35" customHeight="1">
      <x:c r="A4" s="9" t="str">
        <x:v>SKU</x:v>
      </x:c>
      <x:c r="B4" s="9" t="str">
        <x:v>Oct 2025</x:v>
      </x:c>
      <x:c r="C4" s="9" t="str">
        <x:v>Nov 2025</x:v>
      </x:c>
      <x:c r="D4" s="9" t="str">
        <x:v>Dec 2025</x:v>
      </x:c>
      <x:c r="E4" s="9" t="str">
        <x:v>Jan 2026</x:v>
      </x:c>
      <x:c r="F4" s="9" t="str">
        <x:v>Feb 2026</x:v>
      </x:c>
      <x:c r="G4" s="9" t="str">
        <x:v>Mar 2026</x:v>
      </x:c>
      <x:c r="H4" s="9" t="str">
        <x:v>Apr 2026</x:v>
      </x:c>
      <x:c r="I4" s="9" t="str">
        <x:v>May 2026</x:v>
      </x:c>
      <x:c r="J4" s="9" t="str">
        <x:v>Jun 2026</x:v>
      </x:c>
      <x:c r="K4" s="9" t="str">
        <x:v>Jul 2026</x:v>
      </x:c>
      <x:c r="L4" s="9" t="str">
        <x:v>Aug 2026</x:v>
      </x:c>
      <x:c r="M4" s="9" t="str">
        <x:v>Sep 2026</x:v>
      </x:c>
      <x:c r="N4" s="9" t="str">
        <x:v>12M total</x:v>
      </x:c>
    </x:row>
    <x:row r="5">
      <x:c r="A5" t="str">
        <x:v>SKU-001</x:v>
      </x:c>
      <x:c r="B5" s="54" t="n">
        <x:v>70</x:v>
      </x:c>
      <x:c r="C5" s="54" t="n">
        <x:v>92</x:v>
      </x:c>
      <x:c r="D5" s="54" t="n">
        <x:v>83</x:v>
      </x:c>
      <x:c r="E5" s="54" t="n">
        <x:v>82</x:v>
      </x:c>
      <x:c r="F5" s="54" t="n">
        <x:v>84</x:v>
      </x:c>
      <x:c r="G5" s="54" t="n">
        <x:v>77</x:v>
      </x:c>
      <x:c r="H5" s="54" t="n">
        <x:v>83</x:v>
      </x:c>
      <x:c r="I5" s="54" t="n">
        <x:v>62</x:v>
      </x:c>
      <x:c r="J5" s="54" t="n">
        <x:v>75</x:v>
      </x:c>
      <x:c r="K5" s="54" t="n">
        <x:v>83</x:v>
      </x:c>
      <x:c r="L5" s="54" t="n">
        <x:v>104</x:v>
      </x:c>
      <x:c r="M5" s="54" t="n">
        <x:v>96</x:v>
      </x:c>
      <x:c r="N5" s="52" t="n">
        <x:f>SUM(B5:M5)</x:f>
        <x:v>991</x:v>
      </x:c>
    </x:row>
    <x:row r="6">
      <x:c r="A6" t="str">
        <x:v>SKU-002</x:v>
      </x:c>
      <x:c r="B6" s="54" t="n">
        <x:v>210</x:v>
      </x:c>
      <x:c r="C6" s="54" t="n">
        <x:v>176</x:v>
      </x:c>
      <x:c r="D6" s="54" t="n">
        <x:v>217</x:v>
      </x:c>
      <x:c r="E6" s="54" t="n">
        <x:v>264</x:v>
      </x:c>
      <x:c r="F6" s="54" t="n">
        <x:v>265</x:v>
      </x:c>
      <x:c r="G6" s="54" t="n">
        <x:v>268</x:v>
      </x:c>
      <x:c r="H6" s="54" t="n">
        <x:v>242</x:v>
      </x:c>
      <x:c r="I6" s="54" t="n">
        <x:v>333</x:v>
      </x:c>
      <x:c r="J6" s="54" t="n">
        <x:v>308</x:v>
      </x:c>
      <x:c r="K6" s="54" t="n">
        <x:v>351</x:v>
      </x:c>
      <x:c r="L6" s="54" t="n">
        <x:v>324</x:v>
      </x:c>
      <x:c r="M6" s="54" t="n">
        <x:v>267</x:v>
      </x:c>
      <x:c r="N6" s="52" t="n">
        <x:f>SUM(B6:M6)</x:f>
        <x:v>3225</x:v>
      </x:c>
    </x:row>
    <x:row r="7">
      <x:c r="A7" t="str">
        <x:v>SKU-003</x:v>
      </x:c>
      <x:c r="B7" s="54" t="n">
        <x:v>277</x:v>
      </x:c>
      <x:c r="C7" s="54" t="n">
        <x:v>278</x:v>
      </x:c>
      <x:c r="D7" s="54" t="n">
        <x:v>294</x:v>
      </x:c>
      <x:c r="E7" s="54" t="n">
        <x:v>309</x:v>
      </x:c>
      <x:c r="F7" s="54" t="n">
        <x:v>321</x:v>
      </x:c>
      <x:c r="G7" s="54" t="n">
        <x:v>352</x:v>
      </x:c>
      <x:c r="H7" s="54" t="n">
        <x:v>360</x:v>
      </x:c>
      <x:c r="I7" s="54" t="n">
        <x:v>327</x:v>
      </x:c>
      <x:c r="J7" s="54" t="n">
        <x:v>335</x:v>
      </x:c>
      <x:c r="K7" s="54" t="n">
        <x:v>339</x:v>
      </x:c>
      <x:c r="L7" s="54" t="n">
        <x:v>269</x:v>
      </x:c>
      <x:c r="M7" s="54" t="n">
        <x:v>331</x:v>
      </x:c>
      <x:c r="N7" s="52" t="n">
        <x:f>SUM(B7:M7)</x:f>
        <x:v>3792</x:v>
      </x:c>
    </x:row>
    <x:row r="8">
      <x:c r="A8" t="str">
        <x:v>SKU-004</x:v>
      </x:c>
      <x:c r="B8" s="54" t="n">
        <x:v>213</x:v>
      </x:c>
      <x:c r="C8" s="54" t="n">
        <x:v>202</x:v>
      </x:c>
      <x:c r="D8" s="54" t="n">
        <x:v>219</x:v>
      </x:c>
      <x:c r="E8" s="54" t="n">
        <x:v>166</x:v>
      </x:c>
      <x:c r="F8" s="54" t="n">
        <x:v>177</x:v>
      </x:c>
      <x:c r="G8" s="54" t="n">
        <x:v>166</x:v>
      </x:c>
      <x:c r="H8" s="54" t="n">
        <x:v>148</x:v>
      </x:c>
      <x:c r="I8" s="54" t="n">
        <x:v>155</x:v>
      </x:c>
      <x:c r="J8" s="54" t="n">
        <x:v>137</x:v>
      </x:c>
      <x:c r="K8" s="54" t="n">
        <x:v>140</x:v>
      </x:c>
      <x:c r="L8" s="54" t="n">
        <x:v>173</x:v>
      </x:c>
      <x:c r="M8" s="54" t="n">
        <x:v>188</x:v>
      </x:c>
      <x:c r="N8" s="52" t="n">
        <x:f>SUM(B8:M8)</x:f>
        <x:v>2084</x:v>
      </x:c>
    </x:row>
    <x:row r="9">
      <x:c r="A9" t="str">
        <x:v>SKU-005</x:v>
      </x:c>
      <x:c r="B9" s="54" t="n">
        <x:v>169</x:v>
      </x:c>
      <x:c r="C9" s="54" t="n">
        <x:v>129</x:v>
      </x:c>
      <x:c r="D9" s="54" t="n">
        <x:v>168</x:v>
      </x:c>
      <x:c r="E9" s="54" t="n">
        <x:v>151</x:v>
      </x:c>
      <x:c r="F9" s="54" t="n">
        <x:v>150</x:v>
      </x:c>
      <x:c r="G9" s="54" t="n">
        <x:v>181</x:v>
      </x:c>
      <x:c r="H9" s="54" t="n">
        <x:v>185</x:v>
      </x:c>
      <x:c r="I9" s="54" t="n">
        <x:v>187</x:v>
      </x:c>
      <x:c r="J9" s="54" t="n">
        <x:v>148</x:v>
      </x:c>
      <x:c r="K9" s="54" t="n">
        <x:v>183</x:v>
      </x:c>
      <x:c r="L9" s="54" t="n">
        <x:v>175</x:v>
      </x:c>
      <x:c r="M9" s="54" t="n">
        <x:v>154</x:v>
      </x:c>
      <x:c r="N9" s="52" t="n">
        <x:f>SUM(B9:M9)</x:f>
        <x:v>1980</x:v>
      </x:c>
    </x:row>
    <x:row r="10">
      <x:c r="A10" t="str">
        <x:v>SKU-006</x:v>
      </x:c>
      <x:c r="B10" s="54" t="n">
        <x:v>71</x:v>
      </x:c>
      <x:c r="C10" s="54" t="n">
        <x:v>76</x:v>
      </x:c>
      <x:c r="D10" s="54" t="n">
        <x:v>82</x:v>
      </x:c>
      <x:c r="E10" s="54" t="n">
        <x:v>87</x:v>
      </x:c>
      <x:c r="F10" s="54" t="n">
        <x:v>88</x:v>
      </x:c>
      <x:c r="G10" s="54" t="n">
        <x:v>70</x:v>
      </x:c>
      <x:c r="H10" s="54" t="n">
        <x:v>84</x:v>
      </x:c>
      <x:c r="I10" s="54" t="n">
        <x:v>72</x:v>
      </x:c>
      <x:c r="J10" s="54" t="n">
        <x:v>87</x:v>
      </x:c>
      <x:c r="K10" s="54" t="n">
        <x:v>72</x:v>
      </x:c>
      <x:c r="L10" s="54" t="n">
        <x:v>96</x:v>
      </x:c>
      <x:c r="M10" s="54" t="n">
        <x:v>85</x:v>
      </x:c>
      <x:c r="N10" s="52" t="n">
        <x:f>SUM(B10:M10)</x:f>
        <x:v>970</x:v>
      </x:c>
    </x:row>
    <x:row r="11">
      <x:c r="A11" t="str">
        <x:v>SKU-007</x:v>
      </x:c>
      <x:c r="B11" s="54" t="n">
        <x:v>244</x:v>
      </x:c>
      <x:c r="C11" s="54" t="n">
        <x:v>268</x:v>
      </x:c>
      <x:c r="D11" s="54" t="n">
        <x:v>232</x:v>
      </x:c>
      <x:c r="E11" s="54" t="n">
        <x:v>249</x:v>
      </x:c>
      <x:c r="F11" s="54" t="n">
        <x:v>332</x:v>
      </x:c>
      <x:c r="G11" s="54" t="n">
        <x:v>304</x:v>
      </x:c>
      <x:c r="H11" s="54" t="n">
        <x:v>331</x:v>
      </x:c>
      <x:c r="I11" s="54" t="n">
        <x:v>397</x:v>
      </x:c>
      <x:c r="J11" s="54" t="n">
        <x:v>349</x:v>
      </x:c>
      <x:c r="K11" s="54" t="n">
        <x:v>346</x:v>
      </x:c>
      <x:c r="L11" s="54" t="n">
        <x:v>315</x:v>
      </x:c>
      <x:c r="M11" s="54" t="n">
        <x:v>274</x:v>
      </x:c>
      <x:c r="N11" s="52" t="n">
        <x:f>SUM(B11:M11)</x:f>
        <x:v>3641</x:v>
      </x:c>
    </x:row>
    <x:row r="12">
      <x:c r="A12" t="str">
        <x:v>SKU-008</x:v>
      </x:c>
      <x:c r="B12" s="54" t="n">
        <x:v>224</x:v>
      </x:c>
      <x:c r="C12" s="54" t="n">
        <x:v>194</x:v>
      </x:c>
      <x:c r="D12" s="54" t="n">
        <x:v>244</x:v>
      </x:c>
      <x:c r="E12" s="54" t="n">
        <x:v>270</x:v>
      </x:c>
      <x:c r="F12" s="54" t="n">
        <x:v>235</x:v>
      </x:c>
      <x:c r="G12" s="54" t="n">
        <x:v>326</x:v>
      </x:c>
      <x:c r="H12" s="54" t="n">
        <x:v>315</x:v>
      </x:c>
      <x:c r="I12" s="54" t="n">
        <x:v>312</x:v>
      </x:c>
      <x:c r="J12" s="54" t="n">
        <x:v>270</x:v>
      </x:c>
      <x:c r="K12" s="54" t="n">
        <x:v>310</x:v>
      </x:c>
      <x:c r="L12" s="54" t="n">
        <x:v>351</x:v>
      </x:c>
      <x:c r="M12" s="54" t="n">
        <x:v>287</x:v>
      </x:c>
      <x:c r="N12" s="52" t="n">
        <x:f>SUM(B12:M12)</x:f>
        <x:v>3338</x:v>
      </x:c>
    </x:row>
    <x:row r="13">
      <x:c r="A13" t="str">
        <x:v>SKU-009</x:v>
      </x:c>
      <x:c r="B13" s="54" t="n">
        <x:v>85</x:v>
      </x:c>
      <x:c r="C13" s="54" t="n">
        <x:v>104</x:v>
      </x:c>
      <x:c r="D13" s="54" t="n">
        <x:v>106</x:v>
      </x:c>
      <x:c r="E13" s="54" t="n">
        <x:v>110</x:v>
      </x:c>
      <x:c r="F13" s="54" t="n">
        <x:v>107</x:v>
      </x:c>
      <x:c r="G13" s="54" t="n">
        <x:v>128</x:v>
      </x:c>
      <x:c r="H13" s="54" t="n">
        <x:v>120</x:v>
      </x:c>
      <x:c r="I13" s="54" t="n">
        <x:v>140</x:v>
      </x:c>
      <x:c r="J13" s="54" t="n">
        <x:v>167</x:v>
      </x:c>
      <x:c r="K13" s="54" t="n">
        <x:v>146</x:v>
      </x:c>
      <x:c r="L13" s="54" t="n">
        <x:v>156</x:v>
      </x:c>
      <x:c r="M13" s="54" t="n">
        <x:v>120</x:v>
      </x:c>
      <x:c r="N13" s="52" t="n">
        <x:f>SUM(B13:M13)</x:f>
        <x:v>1489</x:v>
      </x:c>
    </x:row>
    <x:row r="14">
      <x:c r="A14" t="str">
        <x:v>SKU-010</x:v>
      </x:c>
      <x:c r="B14" s="54" t="n">
        <x:v>286</x:v>
      </x:c>
      <x:c r="C14" s="54" t="n">
        <x:v>300</x:v>
      </x:c>
      <x:c r="D14" s="54" t="n">
        <x:v>295</x:v>
      </x:c>
      <x:c r="E14" s="54" t="n">
        <x:v>347</x:v>
      </x:c>
      <x:c r="F14" s="54" t="n">
        <x:v>288</x:v>
      </x:c>
      <x:c r="G14" s="54" t="n">
        <x:v>346</x:v>
      </x:c>
      <x:c r="H14" s="54" t="n">
        <x:v>273</x:v>
      </x:c>
      <x:c r="I14" s="54" t="n">
        <x:v>337</x:v>
      </x:c>
      <x:c r="J14" s="54" t="n">
        <x:v>316</x:v>
      </x:c>
      <x:c r="K14" s="54" t="n">
        <x:v>336</x:v>
      </x:c>
      <x:c r="L14" s="54" t="n">
        <x:v>279</x:v>
      </x:c>
      <x:c r="M14" s="54" t="n">
        <x:v>323</x:v>
      </x:c>
      <x:c r="N14" s="52" t="n">
        <x:f>SUM(B14:M14)</x:f>
        <x:v>3726</x:v>
      </x:c>
    </x:row>
    <x:row r="15">
      <x:c r="A15" t="str">
        <x:v>SKU-011</x:v>
      </x:c>
      <x:c r="B15" s="54" t="n">
        <x:v>85</x:v>
      </x:c>
      <x:c r="C15" s="54" t="n">
        <x:v>104</x:v>
      </x:c>
      <x:c r="D15" s="54" t="n">
        <x:v>92</x:v>
      </x:c>
      <x:c r="E15" s="54" t="n">
        <x:v>90</x:v>
      </x:c>
      <x:c r="F15" s="54" t="n">
        <x:v>80</x:v>
      </x:c>
      <x:c r="G15" s="54" t="n">
        <x:v>82</x:v>
      </x:c>
      <x:c r="H15" s="54" t="n">
        <x:v>101</x:v>
      </x:c>
      <x:c r="I15" s="54" t="n">
        <x:v>104</x:v>
      </x:c>
      <x:c r="J15" s="54" t="n">
        <x:v>90</x:v>
      </x:c>
      <x:c r="K15" s="54" t="n">
        <x:v>78</x:v>
      </x:c>
      <x:c r="L15" s="54" t="n">
        <x:v>92</x:v>
      </x:c>
      <x:c r="M15" s="54" t="n">
        <x:v>84</x:v>
      </x:c>
      <x:c r="N15" s="52" t="n">
        <x:f>SUM(B15:M15)</x:f>
        <x:v>1082</x:v>
      </x:c>
    </x:row>
    <x:row r="16">
      <x:c r="A16" t="str">
        <x:v>SKU-012</x:v>
      </x:c>
      <x:c r="B16" s="54" t="n">
        <x:v>127</x:v>
      </x:c>
      <x:c r="C16" s="54" t="n">
        <x:v>132</x:v>
      </x:c>
      <x:c r="D16" s="54" t="n">
        <x:v>138</x:v>
      </x:c>
      <x:c r="E16" s="54" t="n">
        <x:v>131</x:v>
      </x:c>
      <x:c r="F16" s="54" t="n">
        <x:v>124</x:v>
      </x:c>
      <x:c r="G16" s="54" t="n">
        <x:v>159</x:v>
      </x:c>
      <x:c r="H16" s="54" t="n">
        <x:v>133</x:v>
      </x:c>
      <x:c r="I16" s="54" t="n">
        <x:v>154</x:v>
      </x:c>
      <x:c r="J16" s="54" t="n">
        <x:v>134</x:v>
      </x:c>
      <x:c r="K16" s="54" t="n">
        <x:v>126</x:v>
      </x:c>
      <x:c r="L16" s="54" t="n">
        <x:v>124</x:v>
      </x:c>
      <x:c r="M16" s="54" t="n">
        <x:v>162</x:v>
      </x:c>
      <x:c r="N16" s="52" t="n">
        <x:f>SUM(B16:M16)</x:f>
        <x:v>1644</x:v>
      </x:c>
    </x:row>
    <x:row r="17">
      <x:c r="A17" t="str">
        <x:v>SKU-013</x:v>
      </x:c>
      <x:c r="B17" s="54" t="n">
        <x:v>145</x:v>
      </x:c>
      <x:c r="C17" s="54" t="n">
        <x:v>114</x:v>
      </x:c>
      <x:c r="D17" s="54" t="n">
        <x:v>114</x:v>
      </x:c>
      <x:c r="E17" s="54" t="n">
        <x:v>124</x:v>
      </x:c>
      <x:c r="F17" s="54" t="n">
        <x:v>121</x:v>
      </x:c>
      <x:c r="G17" s="54" t="n">
        <x:v>145</x:v>
      </x:c>
      <x:c r="H17" s="54" t="n">
        <x:v>115</x:v>
      </x:c>
      <x:c r="I17" s="54" t="n">
        <x:v>128</x:v>
      </x:c>
      <x:c r="J17" s="54" t="n">
        <x:v>127</x:v>
      </x:c>
      <x:c r="K17" s="54" t="n">
        <x:v>112</x:v>
      </x:c>
      <x:c r="L17" s="54" t="n">
        <x:v>100</x:v>
      </x:c>
      <x:c r="M17" s="54" t="n">
        <x:v>107</x:v>
      </x:c>
      <x:c r="N17" s="52" t="n">
        <x:f>SUM(B17:M17)</x:f>
        <x:v>1452</x:v>
      </x:c>
    </x:row>
    <x:row r="18">
      <x:c r="A18" t="str">
        <x:v>SKU-014</x:v>
      </x:c>
      <x:c r="B18" s="54" t="n">
        <x:v>69</x:v>
      </x:c>
      <x:c r="C18" s="54" t="n">
        <x:v>68</x:v>
      </x:c>
      <x:c r="D18" s="54" t="n">
        <x:v>50</x:v>
      </x:c>
      <x:c r="E18" s="54" t="n">
        <x:v>55</x:v>
      </x:c>
      <x:c r="F18" s="54" t="n">
        <x:v>62</x:v>
      </x:c>
      <x:c r="G18" s="54" t="n">
        <x:v>66</x:v>
      </x:c>
      <x:c r="H18" s="54" t="n">
        <x:v>65</x:v>
      </x:c>
      <x:c r="I18" s="54" t="n">
        <x:v>57</x:v>
      </x:c>
      <x:c r="J18" s="54" t="n">
        <x:v>58</x:v>
      </x:c>
      <x:c r="K18" s="54" t="n">
        <x:v>61</x:v>
      </x:c>
      <x:c r="L18" s="54" t="n">
        <x:v>63</x:v>
      </x:c>
      <x:c r="M18" s="54" t="n">
        <x:v>61</x:v>
      </x:c>
      <x:c r="N18" s="52" t="n">
        <x:f>SUM(B18:M18)</x:f>
        <x:v>735</x:v>
      </x:c>
    </x:row>
    <x:row r="19">
      <x:c r="A19" t="str">
        <x:v>SKU-015</x:v>
      </x:c>
      <x:c r="B19" s="54" t="n">
        <x:v>274</x:v>
      </x:c>
      <x:c r="C19" s="54" t="n">
        <x:v>269</x:v>
      </x:c>
      <x:c r="D19" s="54" t="n">
        <x:v>282</x:v>
      </x:c>
      <x:c r="E19" s="54" t="n">
        <x:v>265</x:v>
      </x:c>
      <x:c r="F19" s="54" t="n">
        <x:v>295</x:v>
      </x:c>
      <x:c r="G19" s="54" t="n">
        <x:v>342</x:v>
      </x:c>
      <x:c r="H19" s="54" t="n">
        <x:v>336</x:v>
      </x:c>
      <x:c r="I19" s="54" t="n">
        <x:v>303</x:v>
      </x:c>
      <x:c r="J19" s="54" t="n">
        <x:v>381</x:v>
      </x:c>
      <x:c r="K19" s="54" t="n">
        <x:v>295</x:v>
      </x:c>
      <x:c r="L19" s="54" t="n">
        <x:v>363</x:v>
      </x:c>
      <x:c r="M19" s="54" t="n">
        <x:v>303</x:v>
      </x:c>
      <x:c r="N19" s="52" t="n">
        <x:f>SUM(B19:M19)</x:f>
        <x:v>3708</x:v>
      </x:c>
    </x:row>
    <x:row r="20">
      <x:c r="A20" t="str">
        <x:v>SKU-016</x:v>
      </x:c>
      <x:c r="B20" s="54" t="n">
        <x:v>82</x:v>
      </x:c>
      <x:c r="C20" s="54" t="n">
        <x:v>76</x:v>
      </x:c>
      <x:c r="D20" s="54" t="n">
        <x:v>71</x:v>
      </x:c>
      <x:c r="E20" s="54" t="n">
        <x:v>82</x:v>
      </x:c>
      <x:c r="F20" s="54" t="n">
        <x:v>72</x:v>
      </x:c>
      <x:c r="G20" s="54" t="n">
        <x:v>76</x:v>
      </x:c>
      <x:c r="H20" s="54" t="n">
        <x:v>62</x:v>
      </x:c>
      <x:c r="I20" s="54" t="n">
        <x:v>82</x:v>
      </x:c>
      <x:c r="J20" s="54" t="n">
        <x:v>64</x:v>
      </x:c>
      <x:c r="K20" s="54" t="n">
        <x:v>60</x:v>
      </x:c>
      <x:c r="L20" s="54" t="n">
        <x:v>72</x:v>
      </x:c>
      <x:c r="M20" s="54" t="n">
        <x:v>82</x:v>
      </x:c>
      <x:c r="N20" s="52" t="n">
        <x:f>SUM(B20:M20)</x:f>
        <x:v>881</x:v>
      </x:c>
    </x:row>
    <x:row r="21">
      <x:c r="A21" t="str">
        <x:v>SKU-017</x:v>
      </x:c>
      <x:c r="B21" s="54" t="n">
        <x:v>105</x:v>
      </x:c>
      <x:c r="C21" s="54" t="n">
        <x:v>142</x:v>
      </x:c>
      <x:c r="D21" s="54" t="n">
        <x:v>136</x:v>
      </x:c>
      <x:c r="E21" s="54" t="n">
        <x:v>113</x:v>
      </x:c>
      <x:c r="F21" s="54" t="n">
        <x:v>143</x:v>
      </x:c>
      <x:c r="G21" s="54" t="n">
        <x:v>148</x:v>
      </x:c>
      <x:c r="H21" s="54" t="n">
        <x:v>132</x:v>
      </x:c>
      <x:c r="I21" s="54" t="n">
        <x:v>167</x:v>
      </x:c>
      <x:c r="J21" s="54" t="n">
        <x:v>153</x:v>
      </x:c>
      <x:c r="K21" s="54" t="n">
        <x:v>146</x:v>
      </x:c>
      <x:c r="L21" s="54" t="n">
        <x:v>149</x:v>
      </x:c>
      <x:c r="M21" s="54" t="n">
        <x:v>143</x:v>
      </x:c>
      <x:c r="N21" s="52" t="n">
        <x:f>SUM(B21:M21)</x:f>
        <x:v>1677</x:v>
      </x:c>
    </x:row>
    <x:row r="22">
      <x:c r="A22" t="str">
        <x:v>SKU-018</x:v>
      </x:c>
      <x:c r="B22" s="54" t="n">
        <x:v>314</x:v>
      </x:c>
      <x:c r="C22" s="54" t="n">
        <x:v>292</x:v>
      </x:c>
      <x:c r="D22" s="54" t="n">
        <x:v>272</x:v>
      </x:c>
      <x:c r="E22" s="54" t="n">
        <x:v>339</x:v>
      </x:c>
      <x:c r="F22" s="54" t="n">
        <x:v>273</x:v>
      </x:c>
      <x:c r="G22" s="54" t="n">
        <x:v>272</x:v>
      </x:c>
      <x:c r="H22" s="54" t="n">
        <x:v>240</x:v>
      </x:c>
      <x:c r="I22" s="54" t="n">
        <x:v>279</x:v>
      </x:c>
      <x:c r="J22" s="54" t="n">
        <x:v>289</x:v>
      </x:c>
      <x:c r="K22" s="54" t="n">
        <x:v>330</x:v>
      </x:c>
      <x:c r="L22" s="54" t="n">
        <x:v>286</x:v>
      </x:c>
      <x:c r="M22" s="54" t="n">
        <x:v>331</x:v>
      </x:c>
      <x:c r="N22" s="52" t="n">
        <x:f>SUM(B22:M22)</x:f>
        <x:v>3517</x:v>
      </x:c>
    </x:row>
    <x:row r="23">
      <x:c r="A23" t="str">
        <x:v>SKU-019</x:v>
      </x:c>
      <x:c r="B23" s="54" t="n">
        <x:v>47</x:v>
      </x:c>
      <x:c r="C23" s="54" t="n">
        <x:v>41</x:v>
      </x:c>
      <x:c r="D23" s="54" t="n">
        <x:v>53</x:v>
      </x:c>
      <x:c r="E23" s="54" t="n">
        <x:v>60</x:v>
      </x:c>
      <x:c r="F23" s="54" t="n">
        <x:v>57</x:v>
      </x:c>
      <x:c r="G23" s="54" t="n">
        <x:v>65</x:v>
      </x:c>
      <x:c r="H23" s="54" t="n">
        <x:v>56</x:v>
      </x:c>
      <x:c r="I23" s="54" t="n">
        <x:v>68</x:v>
      </x:c>
      <x:c r="J23" s="54" t="n">
        <x:v>51</x:v>
      </x:c>
      <x:c r="K23" s="54" t="n">
        <x:v>66</x:v>
      </x:c>
      <x:c r="L23" s="54" t="n">
        <x:v>65</x:v>
      </x:c>
      <x:c r="M23" s="54" t="n">
        <x:v>49</x:v>
      </x:c>
      <x:c r="N23" s="52" t="n">
        <x:f>SUM(B23:M23)</x:f>
        <x:v>678</x:v>
      </x:c>
    </x:row>
    <x:row r="24">
      <x:c r="A24" t="str">
        <x:v>SKU-020</x:v>
      </x:c>
      <x:c r="B24" s="54" t="n">
        <x:v>113</x:v>
      </x:c>
      <x:c r="C24" s="54" t="n">
        <x:v>100</x:v>
      </x:c>
      <x:c r="D24" s="54" t="n">
        <x:v>93</x:v>
      </x:c>
      <x:c r="E24" s="54" t="n">
        <x:v>120</x:v>
      </x:c>
      <x:c r="F24" s="54" t="n">
        <x:v>134</x:v>
      </x:c>
      <x:c r="G24" s="54" t="n">
        <x:v>116</x:v>
      </x:c>
      <x:c r="H24" s="54" t="n">
        <x:v>117</x:v>
      </x:c>
      <x:c r="I24" s="54" t="n">
        <x:v>125</x:v>
      </x:c>
      <x:c r="J24" s="54" t="n">
        <x:v>146</x:v>
      </x:c>
      <x:c r="K24" s="54" t="n">
        <x:v>111</x:v>
      </x:c>
      <x:c r="L24" s="54" t="n">
        <x:v>112</x:v>
      </x:c>
      <x:c r="M24" s="54" t="n">
        <x:v>92</x:v>
      </x:c>
      <x:c r="N24" s="52" t="n">
        <x:f>SUM(B24:M24)</x:f>
        <x:v>1379</x:v>
      </x:c>
    </x:row>
    <x:row r="25">
      <x:c r="A25" t="str">
        <x:v>SKU-021</x:v>
      </x:c>
      <x:c r="B25" s="54" t="n">
        <x:v>323</x:v>
      </x:c>
      <x:c r="C25" s="54" t="n">
        <x:v>251</x:v>
      </x:c>
      <x:c r="D25" s="54" t="n">
        <x:v>266</x:v>
      </x:c>
      <x:c r="E25" s="54" t="n">
        <x:v>230</x:v>
      </x:c>
      <x:c r="F25" s="54" t="n">
        <x:v>229</x:v>
      </x:c>
      <x:c r="G25" s="54" t="n">
        <x:v>262</x:v>
      </x:c>
      <x:c r="H25" s="54" t="n">
        <x:v>225</x:v>
      </x:c>
      <x:c r="I25" s="54" t="n">
        <x:v>227</x:v>
      </x:c>
      <x:c r="J25" s="54" t="n">
        <x:v>188</x:v>
      </x:c>
      <x:c r="K25" s="54" t="n">
        <x:v>241</x:v>
      </x:c>
      <x:c r="L25" s="54" t="n">
        <x:v>215</x:v>
      </x:c>
      <x:c r="M25" s="54" t="n">
        <x:v>308</x:v>
      </x:c>
      <x:c r="N25" s="52" t="n">
        <x:f>SUM(B25:M25)</x:f>
        <x:v>2965</x:v>
      </x:c>
    </x:row>
    <x:row r="26">
      <x:c r="A26" t="str">
        <x:v>SKU-022</x:v>
      </x:c>
      <x:c r="B26" s="54" t="n">
        <x:v>359</x:v>
      </x:c>
      <x:c r="C26" s="54" t="n">
        <x:v>361</x:v>
      </x:c>
      <x:c r="D26" s="54" t="n">
        <x:v>348</x:v>
      </x:c>
      <x:c r="E26" s="54" t="n">
        <x:v>293</x:v>
      </x:c>
      <x:c r="F26" s="54" t="n">
        <x:v>228</x:v>
      </x:c>
      <x:c r="G26" s="54" t="n">
        <x:v>213</x:v>
      </x:c>
      <x:c r="H26" s="54" t="n">
        <x:v>242</x:v>
      </x:c>
      <x:c r="I26" s="54" t="n">
        <x:v>213</x:v>
      </x:c>
      <x:c r="J26" s="54" t="n">
        <x:v>239</x:v>
      </x:c>
      <x:c r="K26" s="54" t="n">
        <x:v>237</x:v>
      </x:c>
      <x:c r="L26" s="54" t="n">
        <x:v>250</x:v>
      </x:c>
      <x:c r="M26" s="54" t="n">
        <x:v>295</x:v>
      </x:c>
      <x:c r="N26" s="52" t="n">
        <x:f>SUM(B26:M26)</x:f>
        <x:v>3278</x:v>
      </x:c>
    </x:row>
    <x:row r="27">
      <x:c r="A27" t="str">
        <x:v>SKU-023</x:v>
      </x:c>
      <x:c r="B27" s="54" t="n">
        <x:v>76</x:v>
      </x:c>
      <x:c r="C27" s="54" t="n">
        <x:v>68</x:v>
      </x:c>
      <x:c r="D27" s="54" t="n">
        <x:v>76</x:v>
      </x:c>
      <x:c r="E27" s="54" t="n">
        <x:v>73</x:v>
      </x:c>
      <x:c r="F27" s="54" t="n">
        <x:v>72</x:v>
      </x:c>
      <x:c r="G27" s="54" t="n">
        <x:v>92</x:v>
      </x:c>
      <x:c r="H27" s="54" t="n">
        <x:v>99</x:v>
      </x:c>
      <x:c r="I27" s="54" t="n">
        <x:v>104</x:v>
      </x:c>
      <x:c r="J27" s="54" t="n">
        <x:v>107</x:v>
      </x:c>
      <x:c r="K27" s="54" t="n">
        <x:v>77</x:v>
      </x:c>
      <x:c r="L27" s="54" t="n">
        <x:v>76</x:v>
      </x:c>
      <x:c r="M27" s="54" t="n">
        <x:v>66</x:v>
      </x:c>
      <x:c r="N27" s="52" t="n">
        <x:f>SUM(B27:M27)</x:f>
        <x:v>986</x:v>
      </x:c>
    </x:row>
    <x:row r="28">
      <x:c r="A28" t="str">
        <x:v>SKU-024</x:v>
      </x:c>
      <x:c r="B28" s="54" t="n">
        <x:v>243</x:v>
      </x:c>
      <x:c r="C28" s="54" t="n">
        <x:v>205</x:v>
      </x:c>
      <x:c r="D28" s="54" t="n">
        <x:v>262</x:v>
      </x:c>
      <x:c r="E28" s="54" t="n">
        <x:v>271</x:v>
      </x:c>
      <x:c r="F28" s="54" t="n">
        <x:v>287</x:v>
      </x:c>
      <x:c r="G28" s="54" t="n">
        <x:v>268</x:v>
      </x:c>
      <x:c r="H28" s="54" t="n">
        <x:v>305</x:v>
      </x:c>
      <x:c r="I28" s="54" t="n">
        <x:v>346</x:v>
      </x:c>
      <x:c r="J28" s="54" t="n">
        <x:v>270</x:v>
      </x:c>
      <x:c r="K28" s="54" t="n">
        <x:v>317</x:v>
      </x:c>
      <x:c r="L28" s="54" t="n">
        <x:v>240</x:v>
      </x:c>
      <x:c r="M28" s="54" t="n">
        <x:v>220</x:v>
      </x:c>
      <x:c r="N28" s="52" t="n">
        <x:f>SUM(B28:M28)</x:f>
        <x:v>3234</x:v>
      </x:c>
    </x:row>
    <x:row r="29">
      <x:c r="A29" t="str">
        <x:v>SKU-025</x:v>
      </x:c>
      <x:c r="B29" s="54" t="n">
        <x:v>140</x:v>
      </x:c>
      <x:c r="C29" s="54" t="n">
        <x:v>141</x:v>
      </x:c>
      <x:c r="D29" s="54" t="n">
        <x:v>151</x:v>
      </x:c>
      <x:c r="E29" s="54" t="n">
        <x:v>195</x:v>
      </x:c>
      <x:c r="F29" s="54" t="n">
        <x:v>190</x:v>
      </x:c>
      <x:c r="G29" s="54" t="n">
        <x:v>215</x:v>
      </x:c>
      <x:c r="H29" s="54" t="n">
        <x:v>178</x:v>
      </x:c>
      <x:c r="I29" s="54" t="n">
        <x:v>203</x:v>
      </x:c>
      <x:c r="J29" s="54" t="n">
        <x:v>195</x:v>
      </x:c>
      <x:c r="K29" s="54" t="n">
        <x:v>223</x:v>
      </x:c>
      <x:c r="L29" s="54" t="n">
        <x:v>209</x:v>
      </x:c>
      <x:c r="M29" s="54" t="n">
        <x:v>240</x:v>
      </x:c>
      <x:c r="N29" s="52" t="n">
        <x:f>SUM(B29:M29)</x:f>
        <x:v>2280</x:v>
      </x:c>
    </x:row>
    <x:row r="30">
      <x:c r="A30" t="str">
        <x:v>SKU-026</x:v>
      </x:c>
      <x:c r="B30" s="54" t="n">
        <x:v>61</x:v>
      </x:c>
      <x:c r="C30" s="54" t="n">
        <x:v>59</x:v>
      </x:c>
      <x:c r="D30" s="54" t="n">
        <x:v>46</x:v>
      </x:c>
      <x:c r="E30" s="54" t="n">
        <x:v>59</x:v>
      </x:c>
      <x:c r="F30" s="54" t="n">
        <x:v>54</x:v>
      </x:c>
      <x:c r="G30" s="54" t="n">
        <x:v>58</x:v>
      </x:c>
      <x:c r="H30" s="54" t="n">
        <x:v>53</x:v>
      </x:c>
      <x:c r="I30" s="54" t="n">
        <x:v>50</x:v>
      </x:c>
      <x:c r="J30" s="54" t="n">
        <x:v>56</x:v>
      </x:c>
      <x:c r="K30" s="54" t="n">
        <x:v>46</x:v>
      </x:c>
      <x:c r="L30" s="54" t="n">
        <x:v>53</x:v>
      </x:c>
      <x:c r="M30" s="54" t="n">
        <x:v>56</x:v>
      </x:c>
      <x:c r="N30" s="52" t="n">
        <x:f>SUM(B30:M30)</x:f>
        <x:v>651</x:v>
      </x:c>
    </x:row>
    <x:row r="31">
      <x:c r="A31" t="str">
        <x:v>SKU-027</x:v>
      </x:c>
      <x:c r="B31" s="54" t="n">
        <x:v>122</x:v>
      </x:c>
      <x:c r="C31" s="54" t="n">
        <x:v>115</x:v>
      </x:c>
      <x:c r="D31" s="54" t="n">
        <x:v>113</x:v>
      </x:c>
      <x:c r="E31" s="54" t="n">
        <x:v>113</x:v>
      </x:c>
      <x:c r="F31" s="54" t="n">
        <x:v>142</x:v>
      </x:c>
      <x:c r="G31" s="54" t="n">
        <x:v>124</x:v>
      </x:c>
      <x:c r="H31" s="54" t="n">
        <x:v>146</x:v>
      </x:c>
      <x:c r="I31" s="54" t="n">
        <x:v>109</x:v>
      </x:c>
      <x:c r="J31" s="54" t="n">
        <x:v>137</x:v>
      </x:c>
      <x:c r="K31" s="54" t="n">
        <x:v>110</x:v>
      </x:c>
      <x:c r="L31" s="54" t="n">
        <x:v>110</x:v>
      </x:c>
      <x:c r="M31" s="54" t="n">
        <x:v>89</x:v>
      </x:c>
      <x:c r="N31" s="52" t="n">
        <x:f>SUM(B31:M31)</x:f>
        <x:v>1430</x:v>
      </x:c>
    </x:row>
    <x:row r="32">
      <x:c r="A32" t="str">
        <x:v>SKU-028</x:v>
      </x:c>
      <x:c r="B32" s="54" t="n">
        <x:v>124</x:v>
      </x:c>
      <x:c r="C32" s="54" t="n">
        <x:v>124</x:v>
      </x:c>
      <x:c r="D32" s="54" t="n">
        <x:v>105</x:v>
      </x:c>
      <x:c r="E32" s="54" t="n">
        <x:v>115</x:v>
      </x:c>
      <x:c r="F32" s="54" t="n">
        <x:v>111</x:v>
      </x:c>
      <x:c r="G32" s="54" t="n">
        <x:v>80</x:v>
      </x:c>
      <x:c r="H32" s="54" t="n">
        <x:v>88</x:v>
      </x:c>
      <x:c r="I32" s="54" t="n">
        <x:v>96</x:v>
      </x:c>
      <x:c r="J32" s="54" t="n">
        <x:v>80</x:v>
      </x:c>
      <x:c r="K32" s="54" t="n">
        <x:v>113</x:v>
      </x:c>
      <x:c r="L32" s="54" t="n">
        <x:v>111</x:v>
      </x:c>
      <x:c r="M32" s="54" t="n">
        <x:v>113</x:v>
      </x:c>
      <x:c r="N32" s="52" t="n">
        <x:f>SUM(B32:M32)</x:f>
        <x:v>1260</x:v>
      </x:c>
    </x:row>
    <x:row r="33">
      <x:c r="A33" t="str">
        <x:v>SKU-029</x:v>
      </x:c>
      <x:c r="B33" s="54" t="n">
        <x:v>193</x:v>
      </x:c>
      <x:c r="C33" s="54" t="n">
        <x:v>182</x:v>
      </x:c>
      <x:c r="D33" s="54" t="n">
        <x:v>242</x:v>
      </x:c>
      <x:c r="E33" s="54" t="n">
        <x:v>243</x:v>
      </x:c>
      <x:c r="F33" s="54" t="n">
        <x:v>232</x:v>
      </x:c>
      <x:c r="G33" s="54" t="n">
        <x:v>202</x:v>
      </x:c>
      <x:c r="H33" s="54" t="n">
        <x:v>171</x:v>
      </x:c>
      <x:c r="I33" s="54" t="n">
        <x:v>176</x:v>
      </x:c>
      <x:c r="J33" s="54" t="n">
        <x:v>233</x:v>
      </x:c>
      <x:c r="K33" s="54" t="n">
        <x:v>214</x:v>
      </x:c>
      <x:c r="L33" s="54" t="n">
        <x:v>261</x:v>
      </x:c>
      <x:c r="M33" s="54" t="n">
        <x:v>249</x:v>
      </x:c>
      <x:c r="N33" s="52" t="n">
        <x:f>SUM(B33:M33)</x:f>
        <x:v>2598</x:v>
      </x:c>
    </x:row>
    <x:row r="34">
      <x:c r="A34" t="str">
        <x:v>SKU-030</x:v>
      </x:c>
      <x:c r="B34" s="54" t="n">
        <x:v>117</x:v>
      </x:c>
      <x:c r="C34" s="54" t="n">
        <x:v>125</x:v>
      </x:c>
      <x:c r="D34" s="54" t="n">
        <x:v>129</x:v>
      </x:c>
      <x:c r="E34" s="54" t="n">
        <x:v>163</x:v>
      </x:c>
      <x:c r="F34" s="54" t="n">
        <x:v>139</x:v>
      </x:c>
      <x:c r="G34" s="54" t="n">
        <x:v>135</x:v>
      </x:c>
      <x:c r="H34" s="54" t="n">
        <x:v>129</x:v>
      </x:c>
      <x:c r="I34" s="54" t="n">
        <x:v>141</x:v>
      </x:c>
      <x:c r="J34" s="54" t="n">
        <x:v>142</x:v>
      </x:c>
      <x:c r="K34" s="54" t="n">
        <x:v>155</x:v>
      </x:c>
      <x:c r="L34" s="54" t="n">
        <x:v>147</x:v>
      </x:c>
      <x:c r="M34" s="54" t="n">
        <x:v>187</x:v>
      </x:c>
      <x:c r="N34" s="52" t="n">
        <x:f>SUM(B34:M34)</x:f>
        <x:v>1709</x:v>
      </x:c>
    </x:row>
  </x:sheetData>
  <x:mergeCells>
    <x:mergeCell ref="A1:N2"/>
  </x:mergeCells>
  <x:pageMargins left="0.7" right="0.7" top="0.75" bottom="0.75" header="0.3" footer="0.3"/>
  <x:tableParts count="1">
    <x:tablePart xmlns:r="http://schemas.openxmlformats.org/officeDocument/2006/relationships" r:id="R4dc9b63dc01c482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7" hidden="0" customWidth="1"/>
    <x:col min="5" max="5" width="15" hidden="0" customWidth="1"/>
    <x:col min="6" max="6" width="22" hidden="0" customWidth="1"/>
    <x:col min="7" max="7" width="20" hidden="0" customWidth="1"/>
    <x:col min="8" max="8" width="21" hidden="0" customWidth="1"/>
    <x:col min="9" max="9" width="18" hidden="0" customWidth="1"/>
    <x:col min="10" max="10" width="20" hidden="0" customWidth="1"/>
  </x:cols>
  <x:sheetData>
    <x:row r="1" ht="25" customHeight="1">
      <x:c r="A1" s="3" t="str">
        <x:v>INVENTORY SNAPSHOT  |  Editable stock and commitments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35" customHeight="1">
      <x:c r="A4" s="9" t="str">
        <x:v>SKU</x:v>
      </x:c>
      <x:c r="B4" s="9" t="str">
        <x:v>On hand</x:v>
      </x:c>
      <x:c r="C4" s="9" t="str">
        <x:v>Inbound PO</x:v>
      </x:c>
      <x:c r="D4" s="9" t="str">
        <x:v>Backorders</x:v>
      </x:c>
      <x:c r="E4" s="9" t="str">
        <x:v>Reserved</x:v>
      </x:c>
      <x:c r="F4" s="9" t="str">
        <x:v>Expiry &lt;=120d units</x:v>
      </x:c>
      <x:c r="G4" s="9" t="str">
        <x:v>Next expiry date</x:v>
      </x:c>
      <x:c r="H4" s="9" t="str">
        <x:v>Warehouse</x:v>
      </x:c>
      <x:c r="I4" s="9" t="str">
        <x:v>Last count</x:v>
      </x:c>
      <x:c r="J4" s="9" t="str">
        <x:v>Net available</x:v>
      </x:c>
    </x:row>
    <x:row r="5">
      <x:c r="A5" t="str">
        <x:v>SKU-001</x:v>
      </x:c>
      <x:c r="B5" s="54" t="n">
        <x:v>693</x:v>
      </x:c>
      <x:c r="C5" s="54" t="n">
        <x:v>0</x:v>
      </x:c>
      <x:c r="D5" s="54" t="n">
        <x:v>41</x:v>
      </x:c>
      <x:c r="E5" s="54" t="n">
        <x:v>20</x:v>
      </x:c>
      <x:c r="F5" s="54" t="n">
        <x:v>140</x:v>
      </x:c>
      <x:c r="G5" s="24" t="n">
        <x:v>46359</x:v>
      </x:c>
      <x:c r="H5" s="14" t="str">
        <x:v>WH-South</x:v>
      </x:c>
      <x:c r="I5" s="24" t="n">
        <x:v>46294</x:v>
      </x:c>
      <x:c r="J5" s="52" t="n">
        <x:f>B5+C5-D5-E5</x:f>
        <x:v>632</x:v>
      </x:c>
    </x:row>
    <x:row r="6">
      <x:c r="A6" t="str">
        <x:v>SKU-002</x:v>
      </x:c>
      <x:c r="B6" s="54" t="n">
        <x:v>2477</x:v>
      </x:c>
      <x:c r="C6" s="54" t="n">
        <x:v>0</x:v>
      </x:c>
      <x:c r="D6" s="54" t="n">
        <x:v>0</x:v>
      </x:c>
      <x:c r="E6" s="54" t="n">
        <x:v>0</x:v>
      </x:c>
      <x:c r="F6" s="54" t="n">
        <x:v>0</x:v>
      </x:c>
      <x:c r="G6" s="24" t="n">
        <x:v>46927</x:v>
      </x:c>
      <x:c r="H6" s="14" t="str">
        <x:v>WH-North</x:v>
      </x:c>
      <x:c r="I6" s="24" t="n">
        <x:v>46291</x:v>
      </x:c>
      <x:c r="J6" s="52" t="n">
        <x:f>B6+C6-D6-E6</x:f>
        <x:v>2477</x:v>
      </x:c>
    </x:row>
    <x:row r="7">
      <x:c r="A7" t="str">
        <x:v>SKU-003</x:v>
      </x:c>
      <x:c r="B7" s="54" t="n">
        <x:v>2313</x:v>
      </x:c>
      <x:c r="C7" s="54" t="n">
        <x:v>0</x:v>
      </x:c>
      <x:c r="D7" s="54" t="n">
        <x:v>0</x:v>
      </x:c>
      <x:c r="E7" s="54" t="n">
        <x:v>0</x:v>
      </x:c>
      <x:c r="F7" s="54" t="n">
        <x:v>0</x:v>
      </x:c>
      <x:c r="G7" s="24" t="n">
        <x:v>46808</x:v>
      </x:c>
      <x:c r="H7" s="14" t="str">
        <x:v>WH-South</x:v>
      </x:c>
      <x:c r="I7" s="24" t="n">
        <x:v>46290</x:v>
      </x:c>
      <x:c r="J7" s="52" t="n">
        <x:f>B7+C7-D7-E7</x:f>
        <x:v>2313</x:v>
      </x:c>
    </x:row>
    <x:row r="8">
      <x:c r="A8" t="str">
        <x:v>SKU-004</x:v>
      </x:c>
      <x:c r="B8" s="54" t="n">
        <x:v>776</x:v>
      </x:c>
      <x:c r="C8" s="54" t="n">
        <x:v>0</x:v>
      </x:c>
      <x:c r="D8" s="54" t="n">
        <x:v>0</x:v>
      </x:c>
      <x:c r="E8" s="54" t="n">
        <x:v>0</x:v>
      </x:c>
      <x:c r="F8" s="54" t="n">
        <x:v>0</x:v>
      </x:c>
      <x:c r="G8" s="24" t="n">
        <x:v>46742</x:v>
      </x:c>
      <x:c r="H8" s="14" t="str">
        <x:v>WH-South</x:v>
      </x:c>
      <x:c r="I8" s="24" t="n">
        <x:v>46286</x:v>
      </x:c>
      <x:c r="J8" s="52" t="n">
        <x:f>B8+C8-D8-E8</x:f>
        <x:v>776</x:v>
      </x:c>
    </x:row>
    <x:row r="9">
      <x:c r="A9" t="str">
        <x:v>SKU-005</x:v>
      </x:c>
      <x:c r="B9" s="54" t="n">
        <x:v>266</x:v>
      </x:c>
      <x:c r="C9" s="54" t="n">
        <x:v>0</x:v>
      </x:c>
      <x:c r="D9" s="54" t="n">
        <x:v>0</x:v>
      </x:c>
      <x:c r="E9" s="54" t="n">
        <x:v>0</x:v>
      </x:c>
      <x:c r="F9" s="54" t="n">
        <x:v>0</x:v>
      </x:c>
      <x:c r="G9" s="24" t="n">
        <x:v>46808</x:v>
      </x:c>
      <x:c r="H9" s="14" t="str">
        <x:v>WH-South</x:v>
      </x:c>
      <x:c r="I9" s="24" t="n">
        <x:v>46294</x:v>
      </x:c>
      <x:c r="J9" s="52" t="n">
        <x:f>B9+C9-D9-E9</x:f>
        <x:v>266</x:v>
      </x:c>
    </x:row>
    <x:row r="10">
      <x:c r="A10" t="str">
        <x:v>SKU-006</x:v>
      </x:c>
      <x:c r="B10" s="54" t="n">
        <x:v>300</x:v>
      </x:c>
      <x:c r="C10" s="54" t="n">
        <x:v>33</x:v>
      </x:c>
      <x:c r="D10" s="54" t="n">
        <x:v>0</x:v>
      </x:c>
      <x:c r="E10" s="54" t="n">
        <x:v>0</x:v>
      </x:c>
      <x:c r="F10" s="54" t="n">
        <x:v>0</x:v>
      </x:c>
      <x:c r="G10" s="24" t="n">
        <x:v>46522</x:v>
      </x:c>
      <x:c r="H10" s="14" t="str">
        <x:v>WH-Central</x:v>
      </x:c>
      <x:c r="I10" s="24" t="n">
        <x:v>46290</x:v>
      </x:c>
      <x:c r="J10" s="52" t="n">
        <x:f>B10+C10-D10-E10</x:f>
        <x:v>333</x:v>
      </x:c>
    </x:row>
    <x:row r="11">
      <x:c r="A11" t="str">
        <x:v>SKU-007</x:v>
      </x:c>
      <x:c r="B11" s="54" t="n">
        <x:v>467</x:v>
      </x:c>
      <x:c r="C11" s="54" t="n">
        <x:v>0</x:v>
      </x:c>
      <x:c r="D11" s="54" t="n">
        <x:v>167</x:v>
      </x:c>
      <x:c r="E11" s="54" t="n">
        <x:v>0</x:v>
      </x:c>
      <x:c r="F11" s="54" t="n">
        <x:v>0</x:v>
      </x:c>
      <x:c r="G11" s="24" t="n">
        <x:v>46656</x:v>
      </x:c>
      <x:c r="H11" s="14" t="str">
        <x:v>WH-South</x:v>
      </x:c>
      <x:c r="I11" s="24" t="n">
        <x:v>46289</x:v>
      </x:c>
      <x:c r="J11" s="52" t="n">
        <x:f>B11+C11-D11-E11</x:f>
        <x:v>300</x:v>
      </x:c>
    </x:row>
    <x:row r="12">
      <x:c r="A12" t="str">
        <x:v>SKU-008</x:v>
      </x:c>
      <x:c r="B12" s="54" t="n">
        <x:v>2592</x:v>
      </x:c>
      <x:c r="C12" s="54" t="n">
        <x:v>123</x:v>
      </x:c>
      <x:c r="D12" s="54" t="n">
        <x:v>0</x:v>
      </x:c>
      <x:c r="E12" s="54" t="n">
        <x:v>0</x:v>
      </x:c>
      <x:c r="F12" s="54" t="n">
        <x:v>839</x:v>
      </x:c>
      <x:c r="G12" s="24" t="n">
        <x:v>46394</x:v>
      </x:c>
      <x:c r="H12" s="14" t="str">
        <x:v>WH-Central</x:v>
      </x:c>
      <x:c r="I12" s="24" t="n">
        <x:v>46285</x:v>
      </x:c>
      <x:c r="J12" s="52" t="n">
        <x:f>B12+C12-D12-E12</x:f>
        <x:v>2715</x:v>
      </x:c>
    </x:row>
    <x:row r="13">
      <x:c r="A13" t="str">
        <x:v>SKU-009</x:v>
      </x:c>
      <x:c r="B13" s="54" t="n">
        <x:v>948</x:v>
      </x:c>
      <x:c r="C13" s="54" t="n">
        <x:v>0</x:v>
      </x:c>
      <x:c r="D13" s="54" t="n">
        <x:v>0</x:v>
      </x:c>
      <x:c r="E13" s="54" t="n">
        <x:v>0</x:v>
      </x:c>
      <x:c r="F13" s="54" t="n">
        <x:v>0</x:v>
      </x:c>
      <x:c r="G13" s="24" t="n">
        <x:v>46782</x:v>
      </x:c>
      <x:c r="H13" s="14" t="str">
        <x:v>WH-South</x:v>
      </x:c>
      <x:c r="I13" s="24" t="n">
        <x:v>46292</x:v>
      </x:c>
      <x:c r="J13" s="52" t="n">
        <x:f>B13+C13-D13-E13</x:f>
        <x:v>948</x:v>
      </x:c>
    </x:row>
    <x:row r="14">
      <x:c r="A14" t="str">
        <x:v>SKU-010</x:v>
      </x:c>
      <x:c r="B14" s="54" t="n">
        <x:v>2116</x:v>
      </x:c>
      <x:c r="C14" s="54" t="n">
        <x:v>124</x:v>
      </x:c>
      <x:c r="D14" s="54" t="n">
        <x:v>0</x:v>
      </x:c>
      <x:c r="E14" s="54" t="n">
        <x:v>77</x:v>
      </x:c>
      <x:c r="F14" s="54" t="n">
        <x:v>0</x:v>
      </x:c>
      <x:c r="G14" s="24" t="n">
        <x:v>46912</x:v>
      </x:c>
      <x:c r="H14" s="14" t="str">
        <x:v>WH-North</x:v>
      </x:c>
      <x:c r="I14" s="24" t="n">
        <x:v>46287</x:v>
      </x:c>
      <x:c r="J14" s="52" t="n">
        <x:f>B14+C14-D14-E14</x:f>
        <x:v>2163</x:v>
      </x:c>
    </x:row>
    <x:row r="15">
      <x:c r="A15" t="str">
        <x:v>SKU-011</x:v>
      </x:c>
      <x:c r="B15" s="54" t="n">
        <x:v>486</x:v>
      </x:c>
      <x:c r="C15" s="54" t="n">
        <x:v>36</x:v>
      </x:c>
      <x:c r="D15" s="54" t="n">
        <x:v>0</x:v>
      </x:c>
      <x:c r="E15" s="54" t="n">
        <x:v>0</x:v>
      </x:c>
      <x:c r="F15" s="54" t="n">
        <x:v>0</x:v>
      </x:c>
      <x:c r="G15" s="24" t="n">
        <x:v>46917</x:v>
      </x:c>
      <x:c r="H15" s="14" t="str">
        <x:v>WH-South</x:v>
      </x:c>
      <x:c r="I15" s="24" t="n">
        <x:v>46289</x:v>
      </x:c>
      <x:c r="J15" s="52" t="n">
        <x:f>B15+C15-D15-E15</x:f>
        <x:v>522</x:v>
      </x:c>
    </x:row>
    <x:row r="16">
      <x:c r="A16" t="str">
        <x:v>SKU-012</x:v>
      </x:c>
      <x:c r="B16" s="54" t="n">
        <x:v>164</x:v>
      </x:c>
      <x:c r="C16" s="54" t="n">
        <x:v>0</x:v>
      </x:c>
      <x:c r="D16" s="54" t="n">
        <x:v>0</x:v>
      </x:c>
      <x:c r="E16" s="54" t="n">
        <x:v>0</x:v>
      </x:c>
      <x:c r="F16" s="54" t="n">
        <x:v>0</x:v>
      </x:c>
      <x:c r="G16" s="24" t="n">
        <x:v>46572</x:v>
      </x:c>
      <x:c r="H16" s="14" t="str">
        <x:v>WH-South</x:v>
      </x:c>
      <x:c r="I16" s="24" t="n">
        <x:v>46294</x:v>
      </x:c>
      <x:c r="J16" s="52" t="n">
        <x:f>B16+C16-D16-E16</x:f>
        <x:v>164</x:v>
      </x:c>
    </x:row>
    <x:row r="17">
      <x:c r="A17" t="str">
        <x:v>SKU-013</x:v>
      </x:c>
      <x:c r="B17" s="54" t="n">
        <x:v>996</x:v>
      </x:c>
      <x:c r="C17" s="54" t="n">
        <x:v>0</x:v>
      </x:c>
      <x:c r="D17" s="54" t="n">
        <x:v>57</x:v>
      </x:c>
      <x:c r="E17" s="54" t="n">
        <x:v>0</x:v>
      </x:c>
      <x:c r="F17" s="54" t="n">
        <x:v>0</x:v>
      </x:c>
      <x:c r="G17" s="24" t="n">
        <x:v>46577</x:v>
      </x:c>
      <x:c r="H17" s="14" t="str">
        <x:v>WH-Central</x:v>
      </x:c>
      <x:c r="I17" s="24" t="n">
        <x:v>46292</x:v>
      </x:c>
      <x:c r="J17" s="52" t="n">
        <x:f>B17+C17-D17-E17</x:f>
        <x:v>939</x:v>
      </x:c>
    </x:row>
    <x:row r="18">
      <x:c r="A18" t="str">
        <x:v>SKU-014</x:v>
      </x:c>
      <x:c r="B18" s="54" t="n">
        <x:v>274</x:v>
      </x:c>
      <x:c r="C18" s="54" t="n">
        <x:v>0</x:v>
      </x:c>
      <x:c r="D18" s="54" t="n">
        <x:v>0</x:v>
      </x:c>
      <x:c r="E18" s="54" t="n">
        <x:v>0</x:v>
      </x:c>
      <x:c r="F18" s="54" t="n">
        <x:v>0</x:v>
      </x:c>
      <x:c r="G18" s="24" t="n">
        <x:v>46661</x:v>
      </x:c>
      <x:c r="H18" s="14" t="str">
        <x:v>WH-Central</x:v>
      </x:c>
      <x:c r="I18" s="24" t="n">
        <x:v>46294</x:v>
      </x:c>
      <x:c r="J18" s="52" t="n">
        <x:f>B18+C18-D18-E18</x:f>
        <x:v>274</x:v>
      </x:c>
    </x:row>
    <x:row r="19">
      <x:c r="A19" t="str">
        <x:v>SKU-015</x:v>
      </x:c>
      <x:c r="B19" s="54" t="n">
        <x:v>542</x:v>
      </x:c>
      <x:c r="C19" s="54" t="n">
        <x:v>0</x:v>
      </x:c>
      <x:c r="D19" s="54" t="n">
        <x:v>0</x:v>
      </x:c>
      <x:c r="E19" s="54" t="n">
        <x:v>0</x:v>
      </x:c>
      <x:c r="F19" s="54" t="n">
        <x:v>220</x:v>
      </x:c>
      <x:c r="G19" s="24" t="n">
        <x:v>46349</x:v>
      </x:c>
      <x:c r="H19" s="14" t="str">
        <x:v>WH-South</x:v>
      </x:c>
      <x:c r="I19" s="24" t="n">
        <x:v>46288</x:v>
      </x:c>
      <x:c r="J19" s="52" t="n">
        <x:f>B19+C19-D19-E19</x:f>
        <x:v>542</x:v>
      </x:c>
    </x:row>
    <x:row r="20">
      <x:c r="A20" t="str">
        <x:v>SKU-016</x:v>
      </x:c>
      <x:c r="B20" s="54" t="n">
        <x:v>78</x:v>
      </x:c>
      <x:c r="C20" s="54" t="n">
        <x:v>0</x:v>
      </x:c>
      <x:c r="D20" s="54" t="n">
        <x:v>0</x:v>
      </x:c>
      <x:c r="E20" s="54" t="n">
        <x:v>0</x:v>
      </x:c>
      <x:c r="F20" s="54" t="n">
        <x:v>0</x:v>
      </x:c>
      <x:c r="G20" s="24" t="n">
        <x:v>46794</x:v>
      </x:c>
      <x:c r="H20" s="14" t="str">
        <x:v>WH-Central</x:v>
      </x:c>
      <x:c r="I20" s="24" t="n">
        <x:v>46286</x:v>
      </x:c>
      <x:c r="J20" s="52" t="n">
        <x:f>B20+C20-D20-E20</x:f>
        <x:v>78</x:v>
      </x:c>
    </x:row>
    <x:row r="21">
      <x:c r="A21" t="str">
        <x:v>SKU-017</x:v>
      </x:c>
      <x:c r="B21" s="54" t="n">
        <x:v>743</x:v>
      </x:c>
      <x:c r="C21" s="54" t="n">
        <x:v>59</x:v>
      </x:c>
      <x:c r="D21" s="54" t="n">
        <x:v>0</x:v>
      </x:c>
      <x:c r="E21" s="54" t="n">
        <x:v>0</x:v>
      </x:c>
      <x:c r="F21" s="54" t="n">
        <x:v>0</x:v>
      </x:c>
      <x:c r="G21" s="24" t="n">
        <x:v>46680</x:v>
      </x:c>
      <x:c r="H21" s="14" t="str">
        <x:v>WH-South</x:v>
      </x:c>
      <x:c r="I21" s="24" t="n">
        <x:v>46290</x:v>
      </x:c>
      <x:c r="J21" s="52" t="n">
        <x:f>B21+C21-D21-E21</x:f>
        <x:v>802</x:v>
      </x:c>
    </x:row>
    <x:row r="22">
      <x:c r="A22" t="str">
        <x:v>SKU-018</x:v>
      </x:c>
      <x:c r="B22" s="54" t="n">
        <x:v>2330</x:v>
      </x:c>
      <x:c r="C22" s="54" t="n">
        <x:v>117</x:v>
      </x:c>
      <x:c r="D22" s="54" t="n">
        <x:v>0</x:v>
      </x:c>
      <x:c r="E22" s="54" t="n">
        <x:v>0</x:v>
      </x:c>
      <x:c r="F22" s="54" t="n">
        <x:v>0</x:v>
      </x:c>
      <x:c r="G22" s="24" t="n">
        <x:v>46512</x:v>
      </x:c>
      <x:c r="H22" s="14" t="str">
        <x:v>WH-South</x:v>
      </x:c>
      <x:c r="I22" s="24" t="n">
        <x:v>46288</x:v>
      </x:c>
      <x:c r="J22" s="52" t="n">
        <x:f>B22+C22-D22-E22</x:f>
        <x:v>2447</x:v>
      </x:c>
    </x:row>
    <x:row r="23">
      <x:c r="A23" t="str">
        <x:v>SKU-019</x:v>
      </x:c>
      <x:c r="B23" s="54" t="n">
        <x:v>401</x:v>
      </x:c>
      <x:c r="C23" s="54" t="n">
        <x:v>0</x:v>
      </x:c>
      <x:c r="D23" s="54" t="n">
        <x:v>29</x:v>
      </x:c>
      <x:c r="E23" s="54" t="n">
        <x:v>14</x:v>
      </x:c>
      <x:c r="F23" s="54" t="n">
        <x:v>0</x:v>
      </x:c>
      <x:c r="G23" s="24" t="n">
        <x:v>46800</x:v>
      </x:c>
      <x:c r="H23" s="14" t="str">
        <x:v>WH-Central</x:v>
      </x:c>
      <x:c r="I23" s="24" t="n">
        <x:v>46295</x:v>
      </x:c>
      <x:c r="J23" s="52" t="n">
        <x:f>B23+C23-D23-E23</x:f>
        <x:v>358</x:v>
      </x:c>
    </x:row>
    <x:row r="24">
      <x:c r="A24" t="str">
        <x:v>SKU-020</x:v>
      </x:c>
      <x:c r="B24" s="54" t="n">
        <x:v>378</x:v>
      </x:c>
      <x:c r="C24" s="54" t="n">
        <x:v>152</x:v>
      </x:c>
      <x:c r="D24" s="54" t="n">
        <x:v>0</x:v>
      </x:c>
      <x:c r="E24" s="54" t="n">
        <x:v>0</x:v>
      </x:c>
      <x:c r="F24" s="54" t="n">
        <x:v>0</x:v>
      </x:c>
      <x:c r="G24" s="24" t="n">
        <x:v>46756</x:v>
      </x:c>
      <x:c r="H24" s="14" t="str">
        <x:v>WH-North</x:v>
      </x:c>
      <x:c r="I24" s="24" t="n">
        <x:v>46285</x:v>
      </x:c>
      <x:c r="J24" s="52" t="n">
        <x:f>B24+C24-D24-E24</x:f>
        <x:v>530</x:v>
      </x:c>
    </x:row>
    <x:row r="25">
      <x:c r="A25" t="str">
        <x:v>SKU-021</x:v>
      </x:c>
      <x:c r="B25" s="54" t="n">
        <x:v>713</x:v>
      </x:c>
      <x:c r="C25" s="54" t="n">
        <x:v>304</x:v>
      </x:c>
      <x:c r="D25" s="54" t="n">
        <x:v>0</x:v>
      </x:c>
      <x:c r="E25" s="54" t="n">
        <x:v>0</x:v>
      </x:c>
      <x:c r="F25" s="54" t="n">
        <x:v>0</x:v>
      </x:c>
      <x:c r="G25" s="24" t="n">
        <x:v>46871</x:v>
      </x:c>
      <x:c r="H25" s="14" t="str">
        <x:v>WH-South</x:v>
      </x:c>
      <x:c r="I25" s="24" t="n">
        <x:v>46294</x:v>
      </x:c>
      <x:c r="J25" s="52" t="n">
        <x:f>B25+C25-D25-E25</x:f>
        <x:v>1017</x:v>
      </x:c>
    </x:row>
    <x:row r="26">
      <x:c r="A26" t="str">
        <x:v>SKU-022</x:v>
      </x:c>
      <x:c r="B26" s="54" t="n">
        <x:v>219</x:v>
      </x:c>
      <x:c r="C26" s="54" t="n">
        <x:v>0</x:v>
      </x:c>
      <x:c r="D26" s="54" t="n">
        <x:v>0</x:v>
      </x:c>
      <x:c r="E26" s="54" t="n">
        <x:v>0</x:v>
      </x:c>
      <x:c r="F26" s="54" t="n">
        <x:v>35</x:v>
      </x:c>
      <x:c r="G26" s="24" t="n">
        <x:v>46375</x:v>
      </x:c>
      <x:c r="H26" s="14" t="str">
        <x:v>WH-Central</x:v>
      </x:c>
      <x:c r="I26" s="24" t="n">
        <x:v>46293</x:v>
      </x:c>
      <x:c r="J26" s="52" t="n">
        <x:f>B26+C26-D26-E26</x:f>
        <x:v>219</x:v>
      </x:c>
    </x:row>
    <x:row r="27">
      <x:c r="A27" t="str">
        <x:v>SKU-023</x:v>
      </x:c>
      <x:c r="B27" s="54" t="n">
        <x:v>390</x:v>
      </x:c>
      <x:c r="C27" s="54" t="n">
        <x:v>114</x:v>
      </x:c>
      <x:c r="D27" s="54" t="n">
        <x:v>0</x:v>
      </x:c>
      <x:c r="E27" s="54" t="n">
        <x:v>0</x:v>
      </x:c>
      <x:c r="F27" s="54" t="n">
        <x:v>0</x:v>
      </x:c>
      <x:c r="G27" s="24" t="n">
        <x:v>46629</x:v>
      </x:c>
      <x:c r="H27" s="14" t="str">
        <x:v>WH-Central</x:v>
      </x:c>
      <x:c r="I27" s="24" t="n">
        <x:v>46288</x:v>
      </x:c>
      <x:c r="J27" s="52" t="n">
        <x:f>B27+C27-D27-E27</x:f>
        <x:v>504</x:v>
      </x:c>
    </x:row>
    <x:row r="28">
      <x:c r="A28" t="str">
        <x:v>SKU-024</x:v>
      </x:c>
      <x:c r="B28" s="54" t="n">
        <x:v>1545</x:v>
      </x:c>
      <x:c r="C28" s="54" t="n">
        <x:v>113</x:v>
      </x:c>
      <x:c r="D28" s="54" t="n">
        <x:v>0</x:v>
      </x:c>
      <x:c r="E28" s="54" t="n">
        <x:v>0</x:v>
      </x:c>
      <x:c r="F28" s="54" t="n">
        <x:v>0</x:v>
      </x:c>
      <x:c r="G28" s="24" t="n">
        <x:v>46902</x:v>
      </x:c>
      <x:c r="H28" s="14" t="str">
        <x:v>WH-Central</x:v>
      </x:c>
      <x:c r="I28" s="24" t="n">
        <x:v>46295</x:v>
      </x:c>
      <x:c r="J28" s="52" t="n">
        <x:f>B28+C28-D28-E28</x:f>
        <x:v>1658</x:v>
      </x:c>
    </x:row>
    <x:row r="29">
      <x:c r="A29" t="str">
        <x:v>SKU-025</x:v>
      </x:c>
      <x:c r="B29" s="54" t="n">
        <x:v>445</x:v>
      </x:c>
      <x:c r="C29" s="54" t="n">
        <x:v>0</x:v>
      </x:c>
      <x:c r="D29" s="54" t="n">
        <x:v>104</x:v>
      </x:c>
      <x:c r="E29" s="54" t="n">
        <x:v>0</x:v>
      </x:c>
      <x:c r="F29" s="54" t="n">
        <x:v>0</x:v>
      </x:c>
      <x:c r="G29" s="24" t="n">
        <x:v>46758</x:v>
      </x:c>
      <x:c r="H29" s="14" t="str">
        <x:v>WH-North</x:v>
      </x:c>
      <x:c r="I29" s="24" t="n">
        <x:v>46288</x:v>
      </x:c>
      <x:c r="J29" s="52" t="n">
        <x:f>B29+C29-D29-E29</x:f>
        <x:v>341</x:v>
      </x:c>
    </x:row>
    <x:row r="30">
      <x:c r="A30" t="str">
        <x:v>SKU-026</x:v>
      </x:c>
      <x:c r="B30" s="54" t="n">
        <x:v>348</x:v>
      </x:c>
      <x:c r="C30" s="54" t="n">
        <x:v>20</x:v>
      </x:c>
      <x:c r="D30" s="54" t="n">
        <x:v>0</x:v>
      </x:c>
      <x:c r="E30" s="54" t="n">
        <x:v>0</x:v>
      </x:c>
      <x:c r="F30" s="54" t="n">
        <x:v>0</x:v>
      </x:c>
      <x:c r="G30" s="24" t="n">
        <x:v>46481</x:v>
      </x:c>
      <x:c r="H30" s="14" t="str">
        <x:v>WH-Central</x:v>
      </x:c>
      <x:c r="I30" s="24" t="n">
        <x:v>46294</x:v>
      </x:c>
      <x:c r="J30" s="52" t="n">
        <x:f>B30+C30-D30-E30</x:f>
        <x:v>368</x:v>
      </x:c>
    </x:row>
    <x:row r="31">
      <x:c r="A31" t="str">
        <x:v>SKU-027</x:v>
      </x:c>
      <x:c r="B31" s="54" t="n">
        <x:v>332</x:v>
      </x:c>
      <x:c r="C31" s="54" t="n">
        <x:v>46</x:v>
      </x:c>
      <x:c r="D31" s="54" t="n">
        <x:v>0</x:v>
      </x:c>
      <x:c r="E31" s="54" t="n">
        <x:v>0</x:v>
      </x:c>
      <x:c r="F31" s="54" t="n">
        <x:v>0</x:v>
      </x:c>
      <x:c r="G31" s="24" t="n">
        <x:v>46567</x:v>
      </x:c>
      <x:c r="H31" s="14" t="str">
        <x:v>WH-Central</x:v>
      </x:c>
      <x:c r="I31" s="24" t="n">
        <x:v>46294</x:v>
      </x:c>
      <x:c r="J31" s="52" t="n">
        <x:f>B31+C31-D31-E31</x:f>
        <x:v>378</x:v>
      </x:c>
    </x:row>
    <x:row r="32">
      <x:c r="A32" t="str">
        <x:v>SKU-028</x:v>
      </x:c>
      <x:c r="B32" s="54" t="n">
        <x:v>563</x:v>
      </x:c>
      <x:c r="C32" s="54" t="n">
        <x:v>40</x:v>
      </x:c>
      <x:c r="D32" s="54" t="n">
        <x:v>0</x:v>
      </x:c>
      <x:c r="E32" s="54" t="n">
        <x:v>25</x:v>
      </x:c>
      <x:c r="F32" s="54" t="n">
        <x:v>0</x:v>
      </x:c>
      <x:c r="G32" s="24" t="n">
        <x:v>46752</x:v>
      </x:c>
      <x:c r="H32" s="14" t="str">
        <x:v>WH-Central</x:v>
      </x:c>
      <x:c r="I32" s="24" t="n">
        <x:v>46287</x:v>
      </x:c>
      <x:c r="J32" s="52" t="n">
        <x:f>B32+C32-D32-E32</x:f>
        <x:v>578</x:v>
      </x:c>
    </x:row>
    <x:row r="33">
      <x:c r="A33" t="str">
        <x:v>SKU-029</x:v>
      </x:c>
      <x:c r="B33" s="54" t="n">
        <x:v>1435</x:v>
      </x:c>
      <x:c r="C33" s="54" t="n">
        <x:v>0</x:v>
      </x:c>
      <x:c r="D33" s="54" t="n">
        <x:v>0</x:v>
      </x:c>
      <x:c r="E33" s="54" t="n">
        <x:v>0</x:v>
      </x:c>
      <x:c r="F33" s="54" t="n">
        <x:v>560</x:v>
      </x:c>
      <x:c r="G33" s="24" t="n">
        <x:v>46358</x:v>
      </x:c>
      <x:c r="H33" s="14" t="str">
        <x:v>WH-North</x:v>
      </x:c>
      <x:c r="I33" s="24" t="n">
        <x:v>46295</x:v>
      </x:c>
      <x:c r="J33" s="52" t="n">
        <x:f>B33+C33-D33-E33</x:f>
        <x:v>1435</x:v>
      </x:c>
    </x:row>
    <x:row r="34">
      <x:c r="A34" t="str">
        <x:v>SKU-030</x:v>
      </x:c>
      <x:c r="B34" s="54" t="n">
        <x:v>966</x:v>
      </x:c>
      <x:c r="C34" s="54" t="n">
        <x:v>0</x:v>
      </x:c>
      <x:c r="D34" s="54" t="n">
        <x:v>0</x:v>
      </x:c>
      <x:c r="E34" s="54" t="n">
        <x:v>0</x:v>
      </x:c>
      <x:c r="F34" s="54" t="n">
        <x:v>0</x:v>
      </x:c>
      <x:c r="G34" s="24" t="n">
        <x:v>46504</x:v>
      </x:c>
      <x:c r="H34" s="14" t="str">
        <x:v>WH-South</x:v>
      </x:c>
      <x:c r="I34" s="24" t="n">
        <x:v>46292</x:v>
      </x:c>
      <x:c r="J34" s="52" t="n">
        <x:f>B34+C34-D34-E34</x:f>
        <x:v>966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44d66e1042614df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7" hidden="0" customWidth="1"/>
    <x:col min="5" max="5" width="17" hidden="0" customWidth="1"/>
    <x:col min="6" max="6" width="20" hidden="0" customWidth="1"/>
    <x:col min="7" max="7" width="18" hidden="0" customWidth="1"/>
    <x:col min="8" max="8" width="20" hidden="0" customWidth="1"/>
    <x:col min="9" max="9" width="20" hidden="0" customWidth="1"/>
    <x:col min="10" max="10" width="17" hidden="0" customWidth="1"/>
    <x:col min="11" max="11" width="19" hidden="0" customWidth="1"/>
    <x:col min="12" max="12" width="17" hidden="0" customWidth="1"/>
    <x:col min="13" max="13" width="20" hidden="0" customWidth="1"/>
    <x:col min="14" max="14" width="16" hidden="0" customWidth="1"/>
    <x:col min="15" max="15" width="20" hidden="0" customWidth="1"/>
    <x:col min="16" max="16" width="18" hidden="0" customWidth="1"/>
    <x:col min="17" max="17" width="20" hidden="0" customWidth="1"/>
    <x:col min="18" max="18" width="18" hidden="0" customWidth="1"/>
    <x:col min="19" max="19" width="19" hidden="0" customWidth="1"/>
    <x:col min="20" max="20" width="27" hidden="0" customWidth="1"/>
    <x:col min="21" max="21" width="17" hidden="0" customWidth="1"/>
  </x:cols>
  <x:sheetData>
    <x:row r="1" ht="25" customHeight="1">
      <x:c r="A1" s="3" t="str">
        <x:v>INVENTORY INTELLIGENCE  |  Forecast · replenishment · risk flags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4" ht="35" customHeight="1">
      <x:c r="A4" s="9" t="str">
        <x:v>SKU</x:v>
      </x:c>
      <x:c r="B4" s="9" t="str">
        <x:v>Product</x:v>
      </x:c>
      <x:c r="C4" s="9" t="str">
        <x:v>Category</x:v>
      </x:c>
      <x:c r="D4" s="9" t="str">
        <x:v>Last 3M avg</x:v>
      </x:c>
      <x:c r="E4" s="9" t="str">
        <x:v>Last 6M avg</x:v>
      </x:c>
      <x:c r="F4" s="9" t="str">
        <x:v>Forecast / month</x:v>
      </x:c>
      <x:c r="G4" s="9" t="str">
        <x:v>Forecast 6M</x:v>
      </x:c>
      <x:c r="H4" s="9" t="str">
        <x:v>Available units</x:v>
      </x:c>
      <x:c r="I4" s="9" t="str">
        <x:v>Coverage (months)</x:v>
      </x:c>
      <x:c r="J4" s="9" t="str">
        <x:v>Lead demand</x:v>
      </x:c>
      <x:c r="K4" s="9" t="str">
        <x:v>Target stock</x:v>
      </x:c>
      <x:c r="L4" s="9" t="str">
        <x:v>Raw reorder</x:v>
      </x:c>
      <x:c r="M4" s="9" t="str">
        <x:v>Suggested PO qty</x:v>
      </x:c>
      <x:c r="N4" s="9" t="str">
        <x:v>Unit cost</x:v>
      </x:c>
      <x:c r="O4" s="9" t="str">
        <x:v>PO value</x:v>
      </x:c>
      <x:c r="P4" s="9" t="str">
        <x:v>Expiry units</x:v>
      </x:c>
      <x:c r="Q4" s="9" t="str">
        <x:v>Expiry flag</x:v>
      </x:c>
      <x:c r="R4" s="9" t="str">
        <x:v>Excess units</x:v>
      </x:c>
      <x:c r="S4" s="9" t="str">
        <x:v>Stock status</x:v>
      </x:c>
      <x:c r="T4" s="9" t="str">
        <x:v>Supplier</x:v>
      </x:c>
      <x:c r="U4" s="9" t="str">
        <x:v>Lead days</x:v>
      </x:c>
    </x:row>
    <x:row r="5">
      <x:c r="A5" t="str">
        <x:f>'SKU Master'!A5</x:f>
        <x:v>SKU-001</x:v>
      </x:c>
      <x:c r="B5" t="str">
        <x:f>'SKU Master'!B5</x:f>
        <x:v>Sparkling Water 500ml</x:v>
      </x:c>
      <x:c r="C5" t="str">
        <x:f>'SKU Master'!C5</x:f>
        <x:v>Beverages</x:v>
      </x:c>
      <x:c r="D5" s="51" t="n">
        <x:f>AVERAGE('Sales History'!K5:M5)</x:f>
        <x:v>94.33333333333333</x:v>
      </x:c>
      <x:c r="E5" s="51" t="n">
        <x:f>AVERAGE('Sales History'!H5:M5)</x:f>
        <x:v>83.83333333333333</x:v>
      </x:c>
      <x:c r="F5" s="52" t="n">
        <x:f>MAX(0,ROUND(E5*(1+MAX(-Assumptions!$B$10,MIN(Assumptions!$B$10,IFERROR((D5/E5-1)*Assumptions!$B$9,0)))),0))</x:f>
        <x:v>88</x:v>
      </x:c>
      <x:c r="G5" s="52" t="n">
        <x:f>F5*6</x:f>
        <x:v>528</x:v>
      </x:c>
      <x:c r="H5" s="52" t="n">
        <x:f>Inventory!J5</x:f>
        <x:v>632</x:v>
      </x:c>
      <x:c r="I5" s="51" t="n">
        <x:f>IFERROR(H5/F5,0)</x:f>
        <x:v>7.181818181818182</x:v>
      </x:c>
      <x:c r="J5" s="52" t="n">
        <x:f>ROUNDUP(F5*U5/30,0)</x:f>
        <x:v>62</x:v>
      </x:c>
      <x:c r="K5" s="52" t="n">
        <x:f>IF(F5=0,0,ROUNDUP(F5*(Assumptions!$B$6+Assumptions!$B$7)+J5,0))</x:f>
        <x:v>568</x:v>
      </x:c>
      <x:c r="L5" s="52" t="n">
        <x:f>MAX(0,K5-H5)</x:f>
        <x:v>0</x:v>
      </x:c>
      <x:c r="M5" s="52" t="n">
        <x:f>IF(OR('SKU Master'!J5&lt;&gt;"Yes",L5=0),0,CEILING(MAX('SKU Master'!I5,L5),'SKU Master'!H5))</x:f>
        <x:v>0</x:v>
      </x:c>
      <x:c r="N5" s="53" t="n">
        <x:f>'SKU Master'!E5</x:f>
        <x:v>13.81</x:v>
      </x:c>
      <x:c r="O5" s="53" t="n">
        <x:f>M5*N5</x:f>
        <x:v>0</x:v>
      </x:c>
      <x:c r="P5" s="52" t="n">
        <x:f>Inventory!F5</x:f>
        <x:v>140</x:v>
      </x:c>
      <x:c r="Q5" t="str">
        <x:f>IF(P5&gt;0,"EXPIRY ALERT","OK")</x:f>
        <x:v>EXPIRY ALERT</x:v>
      </x:c>
      <x:c r="R5" s="52" t="n">
        <x:f>MAX(0,H5-F5*Assumptions!$B$11)</x:f>
        <x:v>16</x:v>
      </x:c>
      <x:c r="S5" t="str">
        <x:f>IF(F5=0,IF(H5&gt;0,"EXCESS","HEALTHY"),IF(H5&lt;J5,"CRITICAL",IF(I5&lt;Assumptions!$B$6,"REORDER",IF(I5&gt;Assumptions!$B$11,"EXCESS","HEALTHY"))))</x:f>
        <x:v>EXCESS</x:v>
      </x:c>
      <x:c r="T5" t="str">
        <x:f>'SKU Master'!D5</x:f>
        <x:v>Northstar Supply</x:v>
      </x:c>
      <x:c r="U5" s="52" t="n">
        <x:f>'SKU Master'!G5</x:f>
        <x:v>21</x:v>
      </x:c>
    </x:row>
    <x:row r="6">
      <x:c r="A6" t="str">
        <x:f>'SKU Master'!A6</x:f>
        <x:v>SKU-002</x:v>
      </x:c>
      <x:c r="B6" t="str">
        <x:f>'SKU Master'!B6</x:f>
        <x:v>Still Water 1L</x:v>
      </x:c>
      <x:c r="C6" t="str">
        <x:f>'SKU Master'!C6</x:f>
        <x:v>Beverages</x:v>
      </x:c>
      <x:c r="D6" s="51" t="n">
        <x:f>AVERAGE('Sales History'!K6:M6)</x:f>
        <x:v>314</x:v>
      </x:c>
      <x:c r="E6" s="51" t="n">
        <x:f>AVERAGE('Sales History'!H6:M6)</x:f>
        <x:v>304.1666666666667</x:v>
      </x:c>
      <x:c r="F6" s="52" t="n">
        <x:f>MAX(0,ROUND(E6*(1+MAX(-Assumptions!$B$10,MIN(Assumptions!$B$10,IFERROR((D6/E6-1)*Assumptions!$B$9,0)))),0))</x:f>
        <x:v>308</x:v>
      </x:c>
      <x:c r="G6" s="52" t="n">
        <x:f>F6*6</x:f>
        <x:v>1848</x:v>
      </x:c>
      <x:c r="H6" s="52" t="n">
        <x:f>Inventory!J6</x:f>
        <x:v>2477</x:v>
      </x:c>
      <x:c r="I6" s="51" t="n">
        <x:f>IFERROR(H6/F6,0)</x:f>
        <x:v>8.042207792207792</x:v>
      </x:c>
      <x:c r="J6" s="52" t="n">
        <x:f>ROUNDUP(F6*U6/30,0)</x:f>
        <x:v>216</x:v>
      </x:c>
      <x:c r="K6" s="52" t="n">
        <x:f>IF(F6=0,0,ROUNDUP(F6*(Assumptions!$B$6+Assumptions!$B$7)+J6,0))</x:f>
        <x:v>1987</x:v>
      </x:c>
      <x:c r="L6" s="52" t="n">
        <x:f>MAX(0,K6-H6)</x:f>
        <x:v>0</x:v>
      </x:c>
      <x:c r="M6" s="52" t="n">
        <x:f>IF(OR('SKU Master'!J6&lt;&gt;"Yes",L6=0),0,CEILING(MAX('SKU Master'!I6,L6),'SKU Master'!H6))</x:f>
        <x:v>0</x:v>
      </x:c>
      <x:c r="N6" s="53" t="n">
        <x:f>'SKU Master'!E6</x:f>
        <x:v>13.53</x:v>
      </x:c>
      <x:c r="O6" s="53" t="n">
        <x:f>M6*N6</x:f>
        <x:v>0</x:v>
      </x:c>
      <x:c r="P6" s="52" t="n">
        <x:f>Inventory!F6</x:f>
        <x:v>0</x:v>
      </x:c>
      <x:c r="Q6" t="str">
        <x:f>IF(P6&gt;0,"EXPIRY ALERT","OK")</x:f>
        <x:v>OK</x:v>
      </x:c>
      <x:c r="R6" s="52" t="n">
        <x:f>MAX(0,H6-F6*Assumptions!$B$11)</x:f>
        <x:v>321</x:v>
      </x:c>
      <x:c r="S6" t="str">
        <x:f>IF(F6=0,IF(H6&gt;0,"EXCESS","HEALTHY"),IF(H6&lt;J6,"CRITICAL",IF(I6&lt;Assumptions!$B$6,"REORDER",IF(I6&gt;Assumptions!$B$11,"EXCESS","HEALTHY"))))</x:f>
        <x:v>EXCESS</x:v>
      </x:c>
      <x:c r="T6" t="str">
        <x:f>'SKU Master'!D6</x:f>
        <x:v>Meridian Imports</x:v>
      </x:c>
      <x:c r="U6" s="52" t="n">
        <x:f>'SKU Master'!G6</x:f>
        <x:v>21</x:v>
      </x:c>
    </x:row>
    <x:row r="7">
      <x:c r="A7" t="str">
        <x:f>'SKU Master'!A7</x:f>
        <x:v>SKU-003</x:v>
      </x:c>
      <x:c r="B7" t="str">
        <x:f>'SKU Master'!B7</x:f>
        <x:v>Cold Brew Coffee</x:v>
      </x:c>
      <x:c r="C7" t="str">
        <x:f>'SKU Master'!C7</x:f>
        <x:v>Beverages</x:v>
      </x:c>
      <x:c r="D7" s="51" t="n">
        <x:f>AVERAGE('Sales History'!K7:M7)</x:f>
        <x:v>313</x:v>
      </x:c>
      <x:c r="E7" s="51" t="n">
        <x:f>AVERAGE('Sales History'!H7:M7)</x:f>
        <x:v>326.8333333333333</x:v>
      </x:c>
      <x:c r="F7" s="52" t="n">
        <x:f>MAX(0,ROUND(E7*(1+MAX(-Assumptions!$B$10,MIN(Assumptions!$B$10,IFERROR((D7/E7-1)*Assumptions!$B$9,0)))),0))</x:f>
        <x:v>322</x:v>
      </x:c>
      <x:c r="G7" s="52" t="n">
        <x:f>F7*6</x:f>
        <x:v>1932</x:v>
      </x:c>
      <x:c r="H7" s="52" t="n">
        <x:f>Inventory!J7</x:f>
        <x:v>2313</x:v>
      </x:c>
      <x:c r="I7" s="51" t="n">
        <x:f>IFERROR(H7/F7,0)</x:f>
        <x:v>7.183229813664596</x:v>
      </x:c>
      <x:c r="J7" s="52" t="n">
        <x:f>ROUNDUP(F7*U7/30,0)</x:f>
        <x:v>76</x:v>
      </x:c>
      <x:c r="K7" s="52" t="n">
        <x:f>IF(F7=0,0,ROUNDUP(F7*(Assumptions!$B$6+Assumptions!$B$7)+J7,0))</x:f>
        <x:v>1928</x:v>
      </x:c>
      <x:c r="L7" s="52" t="n">
        <x:f>MAX(0,K7-H7)</x:f>
        <x:v>0</x:v>
      </x:c>
      <x:c r="M7" s="52" t="n">
        <x:f>IF(OR('SKU Master'!J7&lt;&gt;"Yes",L7=0),0,CEILING(MAX('SKU Master'!I7,L7),'SKU Master'!H7))</x:f>
        <x:v>0</x:v>
      </x:c>
      <x:c r="N7" s="53" t="n">
        <x:f>'SKU Master'!E7</x:f>
        <x:v>3.64</x:v>
      </x:c>
      <x:c r="O7" s="53" t="n">
        <x:f>M7*N7</x:f>
        <x:v>0</x:v>
      </x:c>
      <x:c r="P7" s="52" t="n">
        <x:f>Inventory!F7</x:f>
        <x:v>0</x:v>
      </x:c>
      <x:c r="Q7" t="str">
        <x:f>IF(P7&gt;0,"EXPIRY ALERT","OK")</x:f>
        <x:v>OK</x:v>
      </x:c>
      <x:c r="R7" s="52" t="n">
        <x:f>MAX(0,H7-F7*Assumptions!$B$11)</x:f>
        <x:v>59</x:v>
      </x:c>
      <x:c r="S7" t="str">
        <x:f>IF(F7=0,IF(H7&gt;0,"EXCESS","HEALTHY"),IF(H7&lt;J7,"CRITICAL",IF(I7&lt;Assumptions!$B$6,"REORDER",IF(I7&gt;Assumptions!$B$11,"EXCESS","HEALTHY"))))</x:f>
        <x:v>EXCESS</x:v>
      </x:c>
      <x:c r="T7" t="str">
        <x:f>'SKU Master'!D7</x:f>
        <x:v>Blue Ridge Wholesale</x:v>
      </x:c>
      <x:c r="U7" s="52" t="n">
        <x:f>'SKU Master'!G7</x:f>
        <x:v>7</x:v>
      </x:c>
    </x:row>
    <x:row r="8">
      <x:c r="A8" t="str">
        <x:f>'SKU Master'!A8</x:f>
        <x:v>SKU-004</x:v>
      </x:c>
      <x:c r="B8" t="str">
        <x:f>'SKU Master'!B8</x:f>
        <x:v>Green Tea 330ml</x:v>
      </x:c>
      <x:c r="C8" t="str">
        <x:f>'SKU Master'!C8</x:f>
        <x:v>Beverages</x:v>
      </x:c>
      <x:c r="D8" s="51" t="n">
        <x:f>AVERAGE('Sales History'!K8:M8)</x:f>
        <x:v>167</x:v>
      </x:c>
      <x:c r="E8" s="51" t="n">
        <x:f>AVERAGE('Sales History'!H8:M8)</x:f>
        <x:v>156.83333333333334</x:v>
      </x:c>
      <x:c r="F8" s="52" t="n">
        <x:f>MAX(0,ROUND(E8*(1+MAX(-Assumptions!$B$10,MIN(Assumptions!$B$10,IFERROR((D8/E8-1)*Assumptions!$B$9,0)))),0))</x:f>
        <x:v>160</x:v>
      </x:c>
      <x:c r="G8" s="52" t="n">
        <x:f>F8*6</x:f>
        <x:v>960</x:v>
      </x:c>
      <x:c r="H8" s="52" t="n">
        <x:f>Inventory!J8</x:f>
        <x:v>776</x:v>
      </x:c>
      <x:c r="I8" s="51" t="n">
        <x:f>IFERROR(H8/F8,0)</x:f>
        <x:v>4.85</x:v>
      </x:c>
      <x:c r="J8" s="52" t="n">
        <x:f>ROUNDUP(F8*U8/30,0)</x:f>
        <x:v>112</x:v>
      </x:c>
      <x:c r="K8" s="52" t="n">
        <x:f>IF(F8=0,0,ROUNDUP(F8*(Assumptions!$B$6+Assumptions!$B$7)+J8,0))</x:f>
        <x:v>1032</x:v>
      </x:c>
      <x:c r="L8" s="52" t="n">
        <x:f>MAX(0,K8-H8)</x:f>
        <x:v>256</x:v>
      </x:c>
      <x:c r="M8" s="52" t="n">
        <x:f>IF(OR('SKU Master'!J8&lt;&gt;"Yes",L8=0),0,CEILING(MAX('SKU Master'!I8,L8),'SKU Master'!H8))</x:f>
        <x:v>264</x:v>
      </x:c>
      <x:c r="N8" s="53" t="n">
        <x:f>'SKU Master'!E8</x:f>
        <x:v>2.32</x:v>
      </x:c>
      <x:c r="O8" s="53" t="n">
        <x:f>M8*N8</x:f>
        <x:v>612.4799999999999</x:v>
      </x:c>
      <x:c r="P8" s="52" t="n">
        <x:f>Inventory!F8</x:f>
        <x:v>0</x:v>
      </x:c>
      <x:c r="Q8" t="str">
        <x:f>IF(P8&gt;0,"EXPIRY ALERT","OK")</x:f>
        <x:v>OK</x:v>
      </x:c>
      <x:c r="R8" s="52" t="n">
        <x:f>MAX(0,H8-F8*Assumptions!$B$11)</x:f>
        <x:v>0</x:v>
      </x:c>
      <x:c r="S8" t="str">
        <x:f>IF(F8=0,IF(H8&gt;0,"EXCESS","HEALTHY"),IF(H8&lt;J8,"CRITICAL",IF(I8&lt;Assumptions!$B$6,"REORDER",IF(I8&gt;Assumptions!$B$11,"EXCESS","HEALTHY"))))</x:f>
        <x:v>REORDER</x:v>
      </x:c>
      <x:c r="T8" t="str">
        <x:f>'SKU Master'!D8</x:f>
        <x:v>Apex Trading</x:v>
      </x:c>
      <x:c r="U8" s="52" t="n">
        <x:f>'SKU Master'!G8</x:f>
        <x:v>21</x:v>
      </x:c>
    </x:row>
    <x:row r="9">
      <x:c r="A9" t="str">
        <x:f>'SKU Master'!A9</x:f>
        <x:v>SKU-005</x:v>
      </x:c>
      <x:c r="B9" t="str">
        <x:f>'SKU Master'!B9</x:f>
        <x:v>Orange Juice 1L</x:v>
      </x:c>
      <x:c r="C9" t="str">
        <x:f>'SKU Master'!C9</x:f>
        <x:v>Beverages</x:v>
      </x:c>
      <x:c r="D9" s="51" t="n">
        <x:f>AVERAGE('Sales History'!K9:M9)</x:f>
        <x:v>170.66666666666666</x:v>
      </x:c>
      <x:c r="E9" s="51" t="n">
        <x:f>AVERAGE('Sales History'!H9:M9)</x:f>
        <x:v>172</x:v>
      </x:c>
      <x:c r="F9" s="52" t="n">
        <x:f>MAX(0,ROUND(E9*(1+MAX(-Assumptions!$B$10,MIN(Assumptions!$B$10,IFERROR((D9/E9-1)*Assumptions!$B$9,0)))),0))</x:f>
        <x:v>172</x:v>
      </x:c>
      <x:c r="G9" s="52" t="n">
        <x:f>F9*6</x:f>
        <x:v>1032</x:v>
      </x:c>
      <x:c r="H9" s="52" t="n">
        <x:f>Inventory!J9</x:f>
        <x:v>266</x:v>
      </x:c>
      <x:c r="I9" s="51" t="n">
        <x:f>IFERROR(H9/F9,0)</x:f>
        <x:v>1.5465116279069768</x:v>
      </x:c>
      <x:c r="J9" s="52" t="n">
        <x:f>ROUNDUP(F9*U9/30,0)</x:f>
        <x:v>81</x:v>
      </x:c>
      <x:c r="K9" s="52" t="n">
        <x:f>IF(F9=0,0,ROUNDUP(F9*(Assumptions!$B$6+Assumptions!$B$7)+J9,0))</x:f>
        <x:v>1070</x:v>
      </x:c>
      <x:c r="L9" s="52" t="n">
        <x:f>MAX(0,K9-H9)</x:f>
        <x:v>804</x:v>
      </x:c>
      <x:c r="M9" s="52" t="n">
        <x:f>IF(OR('SKU Master'!J9&lt;&gt;"Yes",L9=0),0,CEILING(MAX('SKU Master'!I9,L9),'SKU Master'!H9))</x:f>
        <x:v>816</x:v>
      </x:c>
      <x:c r="N9" s="53" t="n">
        <x:f>'SKU Master'!E9</x:f>
        <x:v>20.18</x:v>
      </x:c>
      <x:c r="O9" s="53" t="n">
        <x:f>M9*N9</x:f>
        <x:v>16466.88</x:v>
      </x:c>
      <x:c r="P9" s="52" t="n">
        <x:f>Inventory!F9</x:f>
        <x:v>0</x:v>
      </x:c>
      <x:c r="Q9" t="str">
        <x:f>IF(P9&gt;0,"EXPIRY ALERT","OK")</x:f>
        <x:v>OK</x:v>
      </x:c>
      <x:c r="R9" s="52" t="n">
        <x:f>MAX(0,H9-F9*Assumptions!$B$11)</x:f>
        <x:v>0</x:v>
      </x:c>
      <x:c r="S9" t="str">
        <x:f>IF(F9=0,IF(H9&gt;0,"EXCESS","HEALTHY"),IF(H9&lt;J9,"CRITICAL",IF(I9&lt;Assumptions!$B$6,"REORDER",IF(I9&gt;Assumptions!$B$11,"EXCESS","HEALTHY"))))</x:f>
        <x:v>REORDER</x:v>
      </x:c>
      <x:c r="T9" t="str">
        <x:f>'SKU Master'!D9</x:f>
        <x:v>Evergreen Distribution</x:v>
      </x:c>
      <x:c r="U9" s="52" t="n">
        <x:f>'SKU Master'!G9</x:f>
        <x:v>14</x:v>
      </x:c>
    </x:row>
    <x:row r="10">
      <x:c r="A10" t="str">
        <x:f>'SKU Master'!A10</x:f>
        <x:v>SKU-006</x:v>
      </x:c>
      <x:c r="B10" t="str">
        <x:f>'SKU Master'!B10</x:f>
        <x:v>Energy Drink 250ml</x:v>
      </x:c>
      <x:c r="C10" t="str">
        <x:f>'SKU Master'!C10</x:f>
        <x:v>Beverages</x:v>
      </x:c>
      <x:c r="D10" s="51" t="n">
        <x:f>AVERAGE('Sales History'!K10:M10)</x:f>
        <x:v>84.33333333333333</x:v>
      </x:c>
      <x:c r="E10" s="51" t="n">
        <x:f>AVERAGE('Sales History'!H10:M10)</x:f>
        <x:v>82.66666666666667</x:v>
      </x:c>
      <x:c r="F10" s="52" t="n">
        <x:f>MAX(0,ROUND(E10*(1+MAX(-Assumptions!$B$10,MIN(Assumptions!$B$10,IFERROR((D10/E10-1)*Assumptions!$B$9,0)))),0))</x:f>
        <x:v>83</x:v>
      </x:c>
      <x:c r="G10" s="52" t="n">
        <x:f>F10*6</x:f>
        <x:v>498</x:v>
      </x:c>
      <x:c r="H10" s="52" t="n">
        <x:f>Inventory!J10</x:f>
        <x:v>333</x:v>
      </x:c>
      <x:c r="I10" s="51" t="n">
        <x:f>IFERROR(H10/F10,0)</x:f>
        <x:v>4.0120481927710845</x:v>
      </x:c>
      <x:c r="J10" s="52" t="n">
        <x:f>ROUNDUP(F10*U10/30,0)</x:f>
        <x:v>78</x:v>
      </x:c>
      <x:c r="K10" s="52" t="n">
        <x:f>IF(F10=0,0,ROUNDUP(F10*(Assumptions!$B$6+Assumptions!$B$7)+J10,0))</x:f>
        <x:v>556</x:v>
      </x:c>
      <x:c r="L10" s="52" t="n">
        <x:f>MAX(0,K10-H10)</x:f>
        <x:v>223</x:v>
      </x:c>
      <x:c r="M10" s="52" t="n">
        <x:f>IF(OR('SKU Master'!J10&lt;&gt;"Yes",L10=0),0,CEILING(MAX('SKU Master'!I10,L10),'SKU Master'!H10))</x:f>
        <x:v>228</x:v>
      </x:c>
      <x:c r="N10" s="53" t="n">
        <x:f>'SKU Master'!E10</x:f>
        <x:v>16.29</x:v>
      </x:c>
      <x:c r="O10" s="53" t="n">
        <x:f>M10*N10</x:f>
        <x:v>3714.12</x:v>
      </x:c>
      <x:c r="P10" s="52" t="n">
        <x:f>Inventory!F10</x:f>
        <x:v>0</x:v>
      </x:c>
      <x:c r="Q10" t="str">
        <x:f>IF(P10&gt;0,"EXPIRY ALERT","OK")</x:f>
        <x:v>OK</x:v>
      </x:c>
      <x:c r="R10" s="52" t="n">
        <x:f>MAX(0,H10-F10*Assumptions!$B$11)</x:f>
        <x:v>0</x:v>
      </x:c>
      <x:c r="S10" t="str">
        <x:f>IF(F10=0,IF(H10&gt;0,"EXCESS","HEALTHY"),IF(H10&lt;J10,"CRITICAL",IF(I10&lt;Assumptions!$B$6,"REORDER",IF(I10&gt;Assumptions!$B$11,"EXCESS","HEALTHY"))))</x:f>
        <x:v>REORDER</x:v>
      </x:c>
      <x:c r="T10" t="str">
        <x:f>'SKU Master'!D10</x:f>
        <x:v>Northstar Supply</x:v>
      </x:c>
      <x:c r="U10" s="52" t="n">
        <x:f>'SKU Master'!G10</x:f>
        <x:v>28</x:v>
      </x:c>
    </x:row>
    <x:row r="11">
      <x:c r="A11" t="str">
        <x:f>'SKU Master'!A11</x:f>
        <x:v>SKU-007</x:v>
      </x:c>
      <x:c r="B11" t="str">
        <x:f>'SKU Master'!B11</x:f>
        <x:v>Protein Bar 50g</x:v>
      </x:c>
      <x:c r="C11" t="str">
        <x:f>'SKU Master'!C11</x:f>
        <x:v>Snacks</x:v>
      </x:c>
      <x:c r="D11" s="51" t="n">
        <x:f>AVERAGE('Sales History'!K11:M11)</x:f>
        <x:v>311.6666666666667</x:v>
      </x:c>
      <x:c r="E11" s="51" t="n">
        <x:f>AVERAGE('Sales History'!H11:M11)</x:f>
        <x:v>335.3333333333333</x:v>
      </x:c>
      <x:c r="F11" s="52" t="n">
        <x:f>MAX(0,ROUND(E11*(1+MAX(-Assumptions!$B$10,MIN(Assumptions!$B$10,IFERROR((D11/E11-1)*Assumptions!$B$9,0)))),0))</x:f>
        <x:v>327</x:v>
      </x:c>
      <x:c r="G11" s="52" t="n">
        <x:f>F11*6</x:f>
        <x:v>1962</x:v>
      </x:c>
      <x:c r="H11" s="52" t="n">
        <x:f>Inventory!J11</x:f>
        <x:v>300</x:v>
      </x:c>
      <x:c r="I11" s="51" t="n">
        <x:f>IFERROR(H11/F11,0)</x:f>
        <x:v>0.9174311926605505</x:v>
      </x:c>
      <x:c r="J11" s="52" t="n">
        <x:f>ROUNDUP(F11*U11/30,0)</x:f>
        <x:v>306</x:v>
      </x:c>
      <x:c r="K11" s="52" t="n">
        <x:f>IF(F11=0,0,ROUNDUP(F11*(Assumptions!$B$6+Assumptions!$B$7)+J11,0))</x:f>
        <x:v>2187</x:v>
      </x:c>
      <x:c r="L11" s="52" t="n">
        <x:f>MAX(0,K11-H11)</x:f>
        <x:v>1887</x:v>
      </x:c>
      <x:c r="M11" s="52" t="n">
        <x:f>IF(OR('SKU Master'!J11&lt;&gt;"Yes",L11=0),0,CEILING(MAX('SKU Master'!I11,L11),'SKU Master'!H11))</x:f>
        <x:v>1896</x:v>
      </x:c>
      <x:c r="N11" s="53" t="n">
        <x:f>'SKU Master'!E11</x:f>
        <x:v>16.76</x:v>
      </x:c>
      <x:c r="O11" s="53" t="n">
        <x:f>M11*N11</x:f>
        <x:v>31776.960000000003</x:v>
      </x:c>
      <x:c r="P11" s="52" t="n">
        <x:f>Inventory!F11</x:f>
        <x:v>0</x:v>
      </x:c>
      <x:c r="Q11" t="str">
        <x:f>IF(P11&gt;0,"EXPIRY ALERT","OK")</x:f>
        <x:v>OK</x:v>
      </x:c>
      <x:c r="R11" s="52" t="n">
        <x:f>MAX(0,H11-F11*Assumptions!$B$11)</x:f>
        <x:v>0</x:v>
      </x:c>
      <x:c r="S11" t="str">
        <x:f>IF(F11=0,IF(H11&gt;0,"EXCESS","HEALTHY"),IF(H11&lt;J11,"CRITICAL",IF(I11&lt;Assumptions!$B$6,"REORDER",IF(I11&gt;Assumptions!$B$11,"EXCESS","HEALTHY"))))</x:f>
        <x:v>CRITICAL</x:v>
      </x:c>
      <x:c r="T11" t="str">
        <x:f>'SKU Master'!D11</x:f>
        <x:v>Meridian Imports</x:v>
      </x:c>
      <x:c r="U11" s="52" t="n">
        <x:f>'SKU Master'!G11</x:f>
        <x:v>28</x:v>
      </x:c>
    </x:row>
    <x:row r="12">
      <x:c r="A12" t="str">
        <x:f>'SKU Master'!A12</x:f>
        <x:v>SKU-008</x:v>
      </x:c>
      <x:c r="B12" t="str">
        <x:f>'SKU Master'!B12</x:f>
        <x:v>Granola Box 500g</x:v>
      </x:c>
      <x:c r="C12" t="str">
        <x:f>'SKU Master'!C12</x:f>
        <x:v>Snacks</x:v>
      </x:c>
      <x:c r="D12" s="51" t="n">
        <x:f>AVERAGE('Sales History'!K12:M12)</x:f>
        <x:v>316</x:v>
      </x:c>
      <x:c r="E12" s="51" t="n">
        <x:f>AVERAGE('Sales History'!H12:M12)</x:f>
        <x:v>307.5</x:v>
      </x:c>
      <x:c r="F12" s="52" t="n">
        <x:f>MAX(0,ROUND(E12*(1+MAX(-Assumptions!$B$10,MIN(Assumptions!$B$10,IFERROR((D12/E12-1)*Assumptions!$B$9,0)))),0))</x:f>
        <x:v>310</x:v>
      </x:c>
      <x:c r="G12" s="52" t="n">
        <x:f>F12*6</x:f>
        <x:v>1860</x:v>
      </x:c>
      <x:c r="H12" s="52" t="n">
        <x:f>Inventory!J12</x:f>
        <x:v>2715</x:v>
      </x:c>
      <x:c r="I12" s="51" t="n">
        <x:f>IFERROR(H12/F12,0)</x:f>
        <x:v>8.758064516129032</x:v>
      </x:c>
      <x:c r="J12" s="52" t="n">
        <x:f>ROUNDUP(F12*U12/30,0)</x:f>
        <x:v>145</x:v>
      </x:c>
      <x:c r="K12" s="52" t="n">
        <x:f>IF(F12=0,0,ROUNDUP(F12*(Assumptions!$B$6+Assumptions!$B$7)+J12,0))</x:f>
        <x:v>1928</x:v>
      </x:c>
      <x:c r="L12" s="52" t="n">
        <x:f>MAX(0,K12-H12)</x:f>
        <x:v>0</x:v>
      </x:c>
      <x:c r="M12" s="52" t="n">
        <x:f>IF(OR('SKU Master'!J12&lt;&gt;"Yes",L12=0),0,CEILING(MAX('SKU Master'!I12,L12),'SKU Master'!H12))</x:f>
        <x:v>0</x:v>
      </x:c>
      <x:c r="N12" s="53" t="n">
        <x:f>'SKU Master'!E12</x:f>
        <x:v>25.74</x:v>
      </x:c>
      <x:c r="O12" s="53" t="n">
        <x:f>M12*N12</x:f>
        <x:v>0</x:v>
      </x:c>
      <x:c r="P12" s="52" t="n">
        <x:f>Inventory!F12</x:f>
        <x:v>839</x:v>
      </x:c>
      <x:c r="Q12" t="str">
        <x:f>IF(P12&gt;0,"EXPIRY ALERT","OK")</x:f>
        <x:v>EXPIRY ALERT</x:v>
      </x:c>
      <x:c r="R12" s="52" t="n">
        <x:f>MAX(0,H12-F12*Assumptions!$B$11)</x:f>
        <x:v>545</x:v>
      </x:c>
      <x:c r="S12" t="str">
        <x:f>IF(F12=0,IF(H12&gt;0,"EXCESS","HEALTHY"),IF(H12&lt;J12,"CRITICAL",IF(I12&lt;Assumptions!$B$6,"REORDER",IF(I12&gt;Assumptions!$B$11,"EXCESS","HEALTHY"))))</x:f>
        <x:v>EXCESS</x:v>
      </x:c>
      <x:c r="T12" t="str">
        <x:f>'SKU Master'!D12</x:f>
        <x:v>Blue Ridge Wholesale</x:v>
      </x:c>
      <x:c r="U12" s="52" t="n">
        <x:f>'SKU Master'!G12</x:f>
        <x:v>14</x:v>
      </x:c>
    </x:row>
    <x:row r="13">
      <x:c r="A13" t="str">
        <x:f>'SKU Master'!A13</x:f>
        <x:v>SKU-009</x:v>
      </x:c>
      <x:c r="B13" t="str">
        <x:f>'SKU Master'!B13</x:f>
        <x:v>Mixed Nuts 250g</x:v>
      </x:c>
      <x:c r="C13" t="str">
        <x:f>'SKU Master'!C13</x:f>
        <x:v>Snacks</x:v>
      </x:c>
      <x:c r="D13" s="51" t="n">
        <x:f>AVERAGE('Sales History'!K13:M13)</x:f>
        <x:v>140.66666666666666</x:v>
      </x:c>
      <x:c r="E13" s="51" t="n">
        <x:f>AVERAGE('Sales History'!H13:M13)</x:f>
        <x:v>141.5</x:v>
      </x:c>
      <x:c r="F13" s="52" t="n">
        <x:f>MAX(0,ROUND(E13*(1+MAX(-Assumptions!$B$10,MIN(Assumptions!$B$10,IFERROR((D13/E13-1)*Assumptions!$B$9,0)))),0))</x:f>
        <x:v>141</x:v>
      </x:c>
      <x:c r="G13" s="52" t="n">
        <x:f>F13*6</x:f>
        <x:v>846</x:v>
      </x:c>
      <x:c r="H13" s="52" t="n">
        <x:f>Inventory!J13</x:f>
        <x:v>948</x:v>
      </x:c>
      <x:c r="I13" s="51" t="n">
        <x:f>IFERROR(H13/F13,0)</x:f>
        <x:v>6.723404255319149</x:v>
      </x:c>
      <x:c r="J13" s="52" t="n">
        <x:f>ROUNDUP(F13*U13/30,0)</x:f>
        <x:v>165</x:v>
      </x:c>
      <x:c r="K13" s="52" t="n">
        <x:f>IF(F13=0,0,ROUNDUP(F13*(Assumptions!$B$6+Assumptions!$B$7)+J13,0))</x:f>
        <x:v>976</x:v>
      </x:c>
      <x:c r="L13" s="52" t="n">
        <x:f>MAX(0,K13-H13)</x:f>
        <x:v>28</x:v>
      </x:c>
      <x:c r="M13" s="52" t="n">
        <x:f>IF(OR('SKU Master'!J13&lt;&gt;"Yes",L13=0),0,CEILING(MAX('SKU Master'!I13,L13),'SKU Master'!H13))</x:f>
        <x:v>30</x:v>
      </x:c>
      <x:c r="N13" s="53" t="n">
        <x:f>'SKU Master'!E13</x:f>
        <x:v>21.11</x:v>
      </x:c>
      <x:c r="O13" s="53" t="n">
        <x:f>M13*N13</x:f>
        <x:v>633.3</x:v>
      </x:c>
      <x:c r="P13" s="52" t="n">
        <x:f>Inventory!F13</x:f>
        <x:v>0</x:v>
      </x:c>
      <x:c r="Q13" t="str">
        <x:f>IF(P13&gt;0,"EXPIRY ALERT","OK")</x:f>
        <x:v>OK</x:v>
      </x:c>
      <x:c r="R13" s="52" t="n">
        <x:f>MAX(0,H13-F13*Assumptions!$B$11)</x:f>
        <x:v>0</x:v>
      </x:c>
      <x:c r="S13" t="str">
        <x:f>IF(F13=0,IF(H13&gt;0,"EXCESS","HEALTHY"),IF(H13&lt;J13,"CRITICAL",IF(I13&lt;Assumptions!$B$6,"REORDER",IF(I13&gt;Assumptions!$B$11,"EXCESS","HEALTHY"))))</x:f>
        <x:v>HEALTHY</x:v>
      </x:c>
      <x:c r="T13" t="str">
        <x:f>'SKU Master'!D13</x:f>
        <x:v>Apex Trading</x:v>
      </x:c>
      <x:c r="U13" s="52" t="n">
        <x:f>'SKU Master'!G13</x:f>
        <x:v>35</x:v>
      </x:c>
    </x:row>
    <x:row r="14">
      <x:c r="A14" t="str">
        <x:f>'SKU Master'!A14</x:f>
        <x:v>SKU-010</x:v>
      </x:c>
      <x:c r="B14" t="str">
        <x:f>'SKU Master'!B14</x:f>
        <x:v>Crackers 200g</x:v>
      </x:c>
      <x:c r="C14" t="str">
        <x:f>'SKU Master'!C14</x:f>
        <x:v>Snacks</x:v>
      </x:c>
      <x:c r="D14" s="51" t="n">
        <x:f>AVERAGE('Sales History'!K14:M14)</x:f>
        <x:v>312.6666666666667</x:v>
      </x:c>
      <x:c r="E14" s="51" t="n">
        <x:f>AVERAGE('Sales History'!H14:M14)</x:f>
        <x:v>310.6666666666667</x:v>
      </x:c>
      <x:c r="F14" s="52" t="n">
        <x:f>MAX(0,ROUND(E14*(1+MAX(-Assumptions!$B$10,MIN(Assumptions!$B$10,IFERROR((D14/E14-1)*Assumptions!$B$9,0)))),0))</x:f>
        <x:v>311</x:v>
      </x:c>
      <x:c r="G14" s="52" t="n">
        <x:f>F14*6</x:f>
        <x:v>1866</x:v>
      </x:c>
      <x:c r="H14" s="52" t="n">
        <x:f>Inventory!J14</x:f>
        <x:v>2163</x:v>
      </x:c>
      <x:c r="I14" s="51" t="n">
        <x:f>IFERROR(H14/F14,0)</x:f>
        <x:v>6.954983922829582</x:v>
      </x:c>
      <x:c r="J14" s="52" t="n">
        <x:f>ROUNDUP(F14*U14/30,0)</x:f>
        <x:v>291</x:v>
      </x:c>
      <x:c r="K14" s="52" t="n">
        <x:f>IF(F14=0,0,ROUNDUP(F14*(Assumptions!$B$6+Assumptions!$B$7)+J14,0))</x:f>
        <x:v>2080</x:v>
      </x:c>
      <x:c r="L14" s="52" t="n">
        <x:f>MAX(0,K14-H14)</x:f>
        <x:v>0</x:v>
      </x:c>
      <x:c r="M14" s="52" t="n">
        <x:f>IF(OR('SKU Master'!J14&lt;&gt;"Yes",L14=0),0,CEILING(MAX('SKU Master'!I14,L14),'SKU Master'!H14))</x:f>
        <x:v>0</x:v>
      </x:c>
      <x:c r="N14" s="53" t="n">
        <x:f>'SKU Master'!E14</x:f>
        <x:v>6.4</x:v>
      </x:c>
      <x:c r="O14" s="53" t="n">
        <x:f>M14*N14</x:f>
        <x:v>0</x:v>
      </x:c>
      <x:c r="P14" s="52" t="n">
        <x:f>Inventory!F14</x:f>
        <x:v>0</x:v>
      </x:c>
      <x:c r="Q14" t="str">
        <x:f>IF(P14&gt;0,"EXPIRY ALERT","OK")</x:f>
        <x:v>OK</x:v>
      </x:c>
      <x:c r="R14" s="52" t="n">
        <x:f>MAX(0,H14-F14*Assumptions!$B$11)</x:f>
        <x:v>0</x:v>
      </x:c>
      <x:c r="S14" t="str">
        <x:f>IF(F14=0,IF(H14&gt;0,"EXCESS","HEALTHY"),IF(H14&lt;J14,"CRITICAL",IF(I14&lt;Assumptions!$B$6,"REORDER",IF(I14&gt;Assumptions!$B$11,"EXCESS","HEALTHY"))))</x:f>
        <x:v>HEALTHY</x:v>
      </x:c>
      <x:c r="T14" t="str">
        <x:f>'SKU Master'!D14</x:f>
        <x:v>Evergreen Distribution</x:v>
      </x:c>
      <x:c r="U14" s="52" t="n">
        <x:f>'SKU Master'!G14</x:f>
        <x:v>28</x:v>
      </x:c>
    </x:row>
    <x:row r="15">
      <x:c r="A15" t="str">
        <x:f>'SKU Master'!A15</x:f>
        <x:v>SKU-011</x:v>
      </x:c>
      <x:c r="B15" t="str">
        <x:f>'SKU Master'!B15</x:f>
        <x:v>Dark Chocolate 100g</x:v>
      </x:c>
      <x:c r="C15" t="str">
        <x:f>'SKU Master'!C15</x:f>
        <x:v>Snacks</x:v>
      </x:c>
      <x:c r="D15" s="51" t="n">
        <x:f>AVERAGE('Sales History'!K15:M15)</x:f>
        <x:v>84.66666666666667</x:v>
      </x:c>
      <x:c r="E15" s="51" t="n">
        <x:f>AVERAGE('Sales History'!H15:M15)</x:f>
        <x:v>91.5</x:v>
      </x:c>
      <x:c r="F15" s="52" t="n">
        <x:f>MAX(0,ROUND(E15*(1+MAX(-Assumptions!$B$10,MIN(Assumptions!$B$10,IFERROR((D15/E15-1)*Assumptions!$B$9,0)))),0))</x:f>
        <x:v>89</x:v>
      </x:c>
      <x:c r="G15" s="52" t="n">
        <x:f>F15*6</x:f>
        <x:v>534</x:v>
      </x:c>
      <x:c r="H15" s="52" t="n">
        <x:f>Inventory!J15</x:f>
        <x:v>522</x:v>
      </x:c>
      <x:c r="I15" s="51" t="n">
        <x:f>IFERROR(H15/F15,0)</x:f>
        <x:v>5.865168539325842</x:v>
      </x:c>
      <x:c r="J15" s="52" t="n">
        <x:f>ROUNDUP(F15*U15/30,0)</x:f>
        <x:v>21</x:v>
      </x:c>
      <x:c r="K15" s="52" t="n">
        <x:f>IF(F15=0,0,ROUNDUP(F15*(Assumptions!$B$6+Assumptions!$B$7)+J15,0))</x:f>
        <x:v>533</x:v>
      </x:c>
      <x:c r="L15" s="52" t="n">
        <x:f>MAX(0,K15-H15)</x:f>
        <x:v>11</x:v>
      </x:c>
      <x:c r="M15" s="52" t="n">
        <x:f>IF(OR('SKU Master'!J15&lt;&gt;"Yes",L15=0),0,CEILING(MAX('SKU Master'!I15,L15),'SKU Master'!H15))</x:f>
        <x:v>72</x:v>
      </x:c>
      <x:c r="N15" s="53" t="n">
        <x:f>'SKU Master'!E15</x:f>
        <x:v>18.92</x:v>
      </x:c>
      <x:c r="O15" s="53" t="n">
        <x:f>M15*N15</x:f>
        <x:v>1362.2400000000002</x:v>
      </x:c>
      <x:c r="P15" s="52" t="n">
        <x:f>Inventory!F15</x:f>
        <x:v>0</x:v>
      </x:c>
      <x:c r="Q15" t="str">
        <x:f>IF(P15&gt;0,"EXPIRY ALERT","OK")</x:f>
        <x:v>OK</x:v>
      </x:c>
      <x:c r="R15" s="52" t="n">
        <x:f>MAX(0,H15-F15*Assumptions!$B$11)</x:f>
        <x:v>0</x:v>
      </x:c>
      <x:c r="S15" t="str">
        <x:f>IF(F15=0,IF(H15&gt;0,"EXCESS","HEALTHY"),IF(H15&lt;J15,"CRITICAL",IF(I15&lt;Assumptions!$B$6,"REORDER",IF(I15&gt;Assumptions!$B$11,"EXCESS","HEALTHY"))))</x:f>
        <x:v>HEALTHY</x:v>
      </x:c>
      <x:c r="T15" t="str">
        <x:f>'SKU Master'!D15</x:f>
        <x:v>Northstar Supply</x:v>
      </x:c>
      <x:c r="U15" s="52" t="n">
        <x:f>'SKU Master'!G15</x:f>
        <x:v>7</x:v>
      </x:c>
    </x:row>
    <x:row r="16">
      <x:c r="A16" t="str">
        <x:f>'SKU Master'!A16</x:f>
        <x:v>SKU-012</x:v>
      </x:c>
      <x:c r="B16" t="str">
        <x:f>'SKU Master'!B16</x:f>
        <x:v>Fruit Snack Pack</x:v>
      </x:c>
      <x:c r="C16" t="str">
        <x:f>'SKU Master'!C16</x:f>
        <x:v>Snacks</x:v>
      </x:c>
      <x:c r="D16" s="51" t="n">
        <x:f>AVERAGE('Sales History'!K16:M16)</x:f>
        <x:v>137.33333333333334</x:v>
      </x:c>
      <x:c r="E16" s="51" t="n">
        <x:f>AVERAGE('Sales History'!H16:M16)</x:f>
        <x:v>138.83333333333334</x:v>
      </x:c>
      <x:c r="F16" s="52" t="n">
        <x:f>MAX(0,ROUND(E16*(1+MAX(-Assumptions!$B$10,MIN(Assumptions!$B$10,IFERROR((D16/E16-1)*Assumptions!$B$9,0)))),0))</x:f>
        <x:v>138</x:v>
      </x:c>
      <x:c r="G16" s="52" t="n">
        <x:f>F16*6</x:f>
        <x:v>828</x:v>
      </x:c>
      <x:c r="H16" s="52" t="n">
        <x:f>Inventory!J16</x:f>
        <x:v>164</x:v>
      </x:c>
      <x:c r="I16" s="51" t="n">
        <x:f>IFERROR(H16/F16,0)</x:f>
        <x:v>1.1884057971014492</x:v>
      </x:c>
      <x:c r="J16" s="52" t="n">
        <x:f>ROUNDUP(F16*U16/30,0)</x:f>
        <x:v>161</x:v>
      </x:c>
      <x:c r="K16" s="52" t="n">
        <x:f>IF(F16=0,0,ROUNDUP(F16*(Assumptions!$B$6+Assumptions!$B$7)+J16,0))</x:f>
        <x:v>955</x:v>
      </x:c>
      <x:c r="L16" s="52" t="n">
        <x:f>MAX(0,K16-H16)</x:f>
        <x:v>791</x:v>
      </x:c>
      <x:c r="M16" s="52" t="n">
        <x:f>IF(OR('SKU Master'!J16&lt;&gt;"Yes",L16=0),0,CEILING(MAX('SKU Master'!I16,L16),'SKU Master'!H16))</x:f>
        <x:v>792</x:v>
      </x:c>
      <x:c r="N16" s="53" t="n">
        <x:f>'SKU Master'!E16</x:f>
        <x:v>30.81</x:v>
      </x:c>
      <x:c r="O16" s="53" t="n">
        <x:f>M16*N16</x:f>
        <x:v>24401.52</x:v>
      </x:c>
      <x:c r="P16" s="52" t="n">
        <x:f>Inventory!F16</x:f>
        <x:v>0</x:v>
      </x:c>
      <x:c r="Q16" t="str">
        <x:f>IF(P16&gt;0,"EXPIRY ALERT","OK")</x:f>
        <x:v>OK</x:v>
      </x:c>
      <x:c r="R16" s="52" t="n">
        <x:f>MAX(0,H16-F16*Assumptions!$B$11)</x:f>
        <x:v>0</x:v>
      </x:c>
      <x:c r="S16" t="str">
        <x:f>IF(F16=0,IF(H16&gt;0,"EXCESS","HEALTHY"),IF(H16&lt;J16,"CRITICAL",IF(I16&lt;Assumptions!$B$6,"REORDER",IF(I16&gt;Assumptions!$B$11,"EXCESS","HEALTHY"))))</x:f>
        <x:v>REORDER</x:v>
      </x:c>
      <x:c r="T16" t="str">
        <x:f>'SKU Master'!D16</x:f>
        <x:v>Meridian Imports</x:v>
      </x:c>
      <x:c r="U16" s="52" t="n">
        <x:f>'SKU Master'!G16</x:f>
        <x:v>35</x:v>
      </x:c>
    </x:row>
    <x:row r="17">
      <x:c r="A17" t="str">
        <x:f>'SKU Master'!A17</x:f>
        <x:v>SKU-013</x:v>
      </x:c>
      <x:c r="B17" t="str">
        <x:f>'SKU Master'!B17</x:f>
        <x:v>Dish Soap 750ml</x:v>
      </x:c>
      <x:c r="C17" t="str">
        <x:f>'SKU Master'!C17</x:f>
        <x:v>Cleaning</x:v>
      </x:c>
      <x:c r="D17" s="51" t="n">
        <x:f>AVERAGE('Sales History'!K17:M17)</x:f>
        <x:v>106.33333333333333</x:v>
      </x:c>
      <x:c r="E17" s="51" t="n">
        <x:f>AVERAGE('Sales History'!H17:M17)</x:f>
        <x:v>114.83333333333333</x:v>
      </x:c>
      <x:c r="F17" s="52" t="n">
        <x:f>MAX(0,ROUND(E17*(1+MAX(-Assumptions!$B$10,MIN(Assumptions!$B$10,IFERROR((D17/E17-1)*Assumptions!$B$9,0)))),0))</x:f>
        <x:v>112</x:v>
      </x:c>
      <x:c r="G17" s="52" t="n">
        <x:f>F17*6</x:f>
        <x:v>672</x:v>
      </x:c>
      <x:c r="H17" s="52" t="n">
        <x:f>Inventory!J17</x:f>
        <x:v>939</x:v>
      </x:c>
      <x:c r="I17" s="51" t="n">
        <x:f>IFERROR(H17/F17,0)</x:f>
        <x:v>8.383928571428571</x:v>
      </x:c>
      <x:c r="J17" s="52" t="n">
        <x:f>ROUNDUP(F17*U17/30,0)</x:f>
        <x:v>79</x:v>
      </x:c>
      <x:c r="K17" s="52" t="n">
        <x:f>IF(F17=0,0,ROUNDUP(F17*(Assumptions!$B$6+Assumptions!$B$7)+J17,0))</x:f>
        <x:v>723</x:v>
      </x:c>
      <x:c r="L17" s="52" t="n">
        <x:f>MAX(0,K17-H17)</x:f>
        <x:v>0</x:v>
      </x:c>
      <x:c r="M17" s="52" t="n">
        <x:f>IF(OR('SKU Master'!J17&lt;&gt;"Yes",L17=0),0,CEILING(MAX('SKU Master'!I17,L17),'SKU Master'!H17))</x:f>
        <x:v>0</x:v>
      </x:c>
      <x:c r="N17" s="53" t="n">
        <x:f>'SKU Master'!E17</x:f>
        <x:v>9.45</x:v>
      </x:c>
      <x:c r="O17" s="53" t="n">
        <x:f>M17*N17</x:f>
        <x:v>0</x:v>
      </x:c>
      <x:c r="P17" s="52" t="n">
        <x:f>Inventory!F17</x:f>
        <x:v>0</x:v>
      </x:c>
      <x:c r="Q17" t="str">
        <x:f>IF(P17&gt;0,"EXPIRY ALERT","OK")</x:f>
        <x:v>OK</x:v>
      </x:c>
      <x:c r="R17" s="52" t="n">
        <x:f>MAX(0,H17-F17*Assumptions!$B$11)</x:f>
        <x:v>155</x:v>
      </x:c>
      <x:c r="S17" t="str">
        <x:f>IF(F17=0,IF(H17&gt;0,"EXCESS","HEALTHY"),IF(H17&lt;J17,"CRITICAL",IF(I17&lt;Assumptions!$B$6,"REORDER",IF(I17&gt;Assumptions!$B$11,"EXCESS","HEALTHY"))))</x:f>
        <x:v>EXCESS</x:v>
      </x:c>
      <x:c r="T17" t="str">
        <x:f>'SKU Master'!D17</x:f>
        <x:v>Blue Ridge Wholesale</x:v>
      </x:c>
      <x:c r="U17" s="52" t="n">
        <x:f>'SKU Master'!G17</x:f>
        <x:v>21</x:v>
      </x:c>
    </x:row>
    <x:row r="18">
      <x:c r="A18" t="str">
        <x:f>'SKU Master'!A18</x:f>
        <x:v>SKU-014</x:v>
      </x:c>
      <x:c r="B18" t="str">
        <x:f>'SKU Master'!B18</x:f>
        <x:v>All-Purpose Cleaner</x:v>
      </x:c>
      <x:c r="C18" t="str">
        <x:f>'SKU Master'!C18</x:f>
        <x:v>Cleaning</x:v>
      </x:c>
      <x:c r="D18" s="51" t="n">
        <x:f>AVERAGE('Sales History'!K18:M18)</x:f>
        <x:v>61.666666666666664</x:v>
      </x:c>
      <x:c r="E18" s="51" t="n">
        <x:f>AVERAGE('Sales History'!H18:M18)</x:f>
        <x:v>60.833333333333336</x:v>
      </x:c>
      <x:c r="F18" s="52" t="n">
        <x:f>MAX(0,ROUND(E18*(1+MAX(-Assumptions!$B$10,MIN(Assumptions!$B$10,IFERROR((D18/E18-1)*Assumptions!$B$9,0)))),0))</x:f>
        <x:v>61</x:v>
      </x:c>
      <x:c r="G18" s="52" t="n">
        <x:f>F18*6</x:f>
        <x:v>366</x:v>
      </x:c>
      <x:c r="H18" s="52" t="n">
        <x:f>Inventory!J18</x:f>
        <x:v>274</x:v>
      </x:c>
      <x:c r="I18" s="51" t="n">
        <x:f>IFERROR(H18/F18,0)</x:f>
        <x:v>4.491803278688525</x:v>
      </x:c>
      <x:c r="J18" s="52" t="n">
        <x:f>ROUNDUP(F18*U18/30,0)</x:f>
        <x:v>21</x:v>
      </x:c>
      <x:c r="K18" s="52" t="n">
        <x:f>IF(F18=0,0,ROUNDUP(F18*(Assumptions!$B$6+Assumptions!$B$7)+J18,0))</x:f>
        <x:v>372</x:v>
      </x:c>
      <x:c r="L18" s="52" t="n">
        <x:f>MAX(0,K18-H18)</x:f>
        <x:v>98</x:v>
      </x:c>
      <x:c r="M18" s="52" t="n">
        <x:f>IF(OR('SKU Master'!J18&lt;&gt;"Yes",L18=0),0,CEILING(MAX('SKU Master'!I18,L18),'SKU Master'!H18))</x:f>
        <x:v>120</x:v>
      </x:c>
      <x:c r="N18" s="53" t="n">
        <x:f>'SKU Master'!E18</x:f>
        <x:v>13.84</x:v>
      </x:c>
      <x:c r="O18" s="53" t="n">
        <x:f>M18*N18</x:f>
        <x:v>1660.8</x:v>
      </x:c>
      <x:c r="P18" s="52" t="n">
        <x:f>Inventory!F18</x:f>
        <x:v>0</x:v>
      </x:c>
      <x:c r="Q18" t="str">
        <x:f>IF(P18&gt;0,"EXPIRY ALERT","OK")</x:f>
        <x:v>OK</x:v>
      </x:c>
      <x:c r="R18" s="52" t="n">
        <x:f>MAX(0,H18-F18*Assumptions!$B$11)</x:f>
        <x:v>0</x:v>
      </x:c>
      <x:c r="S18" t="str">
        <x:f>IF(F18=0,IF(H18&gt;0,"EXCESS","HEALTHY"),IF(H18&lt;J18,"CRITICAL",IF(I18&lt;Assumptions!$B$6,"REORDER",IF(I18&gt;Assumptions!$B$11,"EXCESS","HEALTHY"))))</x:f>
        <x:v>REORDER</x:v>
      </x:c>
      <x:c r="T18" t="str">
        <x:f>'SKU Master'!D18</x:f>
        <x:v>Apex Trading</x:v>
      </x:c>
      <x:c r="U18" s="52" t="n">
        <x:f>'SKU Master'!G18</x:f>
        <x:v>10</x:v>
      </x:c>
    </x:row>
    <x:row r="19">
      <x:c r="A19" t="str">
        <x:f>'SKU Master'!A19</x:f>
        <x:v>SKU-015</x:v>
      </x:c>
      <x:c r="B19" t="str">
        <x:f>'SKU Master'!B19</x:f>
        <x:v>Laundry Detergent 2L</x:v>
      </x:c>
      <x:c r="C19" t="str">
        <x:f>'SKU Master'!C19</x:f>
        <x:v>Cleaning</x:v>
      </x:c>
      <x:c r="D19" s="51" t="n">
        <x:f>AVERAGE('Sales History'!K19:M19)</x:f>
        <x:v>320.3333333333333</x:v>
      </x:c>
      <x:c r="E19" s="51" t="n">
        <x:f>AVERAGE('Sales History'!H19:M19)</x:f>
        <x:v>330.1666666666667</x:v>
      </x:c>
      <x:c r="F19" s="52" t="n">
        <x:f>MAX(0,ROUND(E19*(1+MAX(-Assumptions!$B$10,MIN(Assumptions!$B$10,IFERROR((D19/E19-1)*Assumptions!$B$9,0)))),0))</x:f>
        <x:v>327</x:v>
      </x:c>
      <x:c r="G19" s="52" t="n">
        <x:f>F19*6</x:f>
        <x:v>1962</x:v>
      </x:c>
      <x:c r="H19" s="52" t="n">
        <x:f>Inventory!J19</x:f>
        <x:v>542</x:v>
      </x:c>
      <x:c r="I19" s="51" t="n">
        <x:f>IFERROR(H19/F19,0)</x:f>
        <x:v>1.657492354740061</x:v>
      </x:c>
      <x:c r="J19" s="52" t="n">
        <x:f>ROUNDUP(F19*U19/30,0)</x:f>
        <x:v>306</x:v>
      </x:c>
      <x:c r="K19" s="52" t="n">
        <x:f>IF(F19=0,0,ROUNDUP(F19*(Assumptions!$B$6+Assumptions!$B$7)+J19,0))</x:f>
        <x:v>2187</x:v>
      </x:c>
      <x:c r="L19" s="52" t="n">
        <x:f>MAX(0,K19-H19)</x:f>
        <x:v>1645</x:v>
      </x:c>
      <x:c r="M19" s="52" t="n">
        <x:f>IF(OR('SKU Master'!J19&lt;&gt;"Yes",L19=0),0,CEILING(MAX('SKU Master'!I19,L19),'SKU Master'!H19))</x:f>
        <x:v>1650</x:v>
      </x:c>
      <x:c r="N19" s="53" t="n">
        <x:f>'SKU Master'!E19</x:f>
        <x:v>32.45</x:v>
      </x:c>
      <x:c r="O19" s="53" t="n">
        <x:f>M19*N19</x:f>
        <x:v>53542.50000000001</x:v>
      </x:c>
      <x:c r="P19" s="52" t="n">
        <x:f>Inventory!F19</x:f>
        <x:v>220</x:v>
      </x:c>
      <x:c r="Q19" t="str">
        <x:f>IF(P19&gt;0,"EXPIRY ALERT","OK")</x:f>
        <x:v>EXPIRY ALERT</x:v>
      </x:c>
      <x:c r="R19" s="52" t="n">
        <x:f>MAX(0,H19-F19*Assumptions!$B$11)</x:f>
        <x:v>0</x:v>
      </x:c>
      <x:c r="S19" t="str">
        <x:f>IF(F19=0,IF(H19&gt;0,"EXCESS","HEALTHY"),IF(H19&lt;J19,"CRITICAL",IF(I19&lt;Assumptions!$B$6,"REORDER",IF(I19&gt;Assumptions!$B$11,"EXCESS","HEALTHY"))))</x:f>
        <x:v>REORDER</x:v>
      </x:c>
      <x:c r="T19" t="str">
        <x:f>'SKU Master'!D19</x:f>
        <x:v>Evergreen Distribution</x:v>
      </x:c>
      <x:c r="U19" s="52" t="n">
        <x:f>'SKU Master'!G19</x:f>
        <x:v>28</x:v>
      </x:c>
    </x:row>
    <x:row r="20">
      <x:c r="A20" t="str">
        <x:f>'SKU Master'!A20</x:f>
        <x:v>SKU-016</x:v>
      </x:c>
      <x:c r="B20" t="str">
        <x:f>'SKU Master'!B20</x:f>
        <x:v>Hand Sanitizer 500ml</x:v>
      </x:c>
      <x:c r="C20" t="str">
        <x:f>'SKU Master'!C20</x:f>
        <x:v>Cleaning</x:v>
      </x:c>
      <x:c r="D20" s="51" t="n">
        <x:f>AVERAGE('Sales History'!K20:M20)</x:f>
        <x:v>71.33333333333333</x:v>
      </x:c>
      <x:c r="E20" s="51" t="n">
        <x:f>AVERAGE('Sales History'!H20:M20)</x:f>
        <x:v>70.33333333333333</x:v>
      </x:c>
      <x:c r="F20" s="52" t="n">
        <x:f>MAX(0,ROUND(E20*(1+MAX(-Assumptions!$B$10,MIN(Assumptions!$B$10,IFERROR((D20/E20-1)*Assumptions!$B$9,0)))),0))</x:f>
        <x:v>71</x:v>
      </x:c>
      <x:c r="G20" s="52" t="n">
        <x:f>F20*6</x:f>
        <x:v>426</x:v>
      </x:c>
      <x:c r="H20" s="52" t="n">
        <x:f>Inventory!J20</x:f>
        <x:v>78</x:v>
      </x:c>
      <x:c r="I20" s="51" t="n">
        <x:f>IFERROR(H20/F20,0)</x:f>
        <x:v>1.0985915492957747</x:v>
      </x:c>
      <x:c r="J20" s="52" t="n">
        <x:f>ROUNDUP(F20*U20/30,0)</x:f>
        <x:v>50</x:v>
      </x:c>
      <x:c r="K20" s="52" t="n">
        <x:f>IF(F20=0,0,ROUNDUP(F20*(Assumptions!$B$6+Assumptions!$B$7)+J20,0))</x:f>
        <x:v>459</x:v>
      </x:c>
      <x:c r="L20" s="52" t="n">
        <x:f>MAX(0,K20-H20)</x:f>
        <x:v>381</x:v>
      </x:c>
      <x:c r="M20" s="52" t="n">
        <x:f>IF(OR('SKU Master'!J20&lt;&gt;"Yes",L20=0),0,CEILING(MAX('SKU Master'!I20,L20),'SKU Master'!H20))</x:f>
        <x:v>384</x:v>
      </x:c>
      <x:c r="N20" s="53" t="n">
        <x:f>'SKU Master'!E20</x:f>
        <x:v>18.13</x:v>
      </x:c>
      <x:c r="O20" s="53" t="n">
        <x:f>M20*N20</x:f>
        <x:v>6961.92</x:v>
      </x:c>
      <x:c r="P20" s="52" t="n">
        <x:f>Inventory!F20</x:f>
        <x:v>0</x:v>
      </x:c>
      <x:c r="Q20" t="str">
        <x:f>IF(P20&gt;0,"EXPIRY ALERT","OK")</x:f>
        <x:v>OK</x:v>
      </x:c>
      <x:c r="R20" s="52" t="n">
        <x:f>MAX(0,H20-F20*Assumptions!$B$11)</x:f>
        <x:v>0</x:v>
      </x:c>
      <x:c r="S20" t="str">
        <x:f>IF(F20=0,IF(H20&gt;0,"EXCESS","HEALTHY"),IF(H20&lt;J20,"CRITICAL",IF(I20&lt;Assumptions!$B$6,"REORDER",IF(I20&gt;Assumptions!$B$11,"EXCESS","HEALTHY"))))</x:f>
        <x:v>REORDER</x:v>
      </x:c>
      <x:c r="T20" t="str">
        <x:f>'SKU Master'!D20</x:f>
        <x:v>Northstar Supply</x:v>
      </x:c>
      <x:c r="U20" s="52" t="n">
        <x:f>'SKU Master'!G20</x:f>
        <x:v>21</x:v>
      </x:c>
    </x:row>
    <x:row r="21">
      <x:c r="A21" t="str">
        <x:f>'SKU Master'!A21</x:f>
        <x:v>SKU-017</x:v>
      </x:c>
      <x:c r="B21" t="str">
        <x:f>'SKU Master'!B21</x:f>
        <x:v>Paper Towels 6pk</x:v>
      </x:c>
      <x:c r="C21" t="str">
        <x:f>'SKU Master'!C21</x:f>
        <x:v>Cleaning</x:v>
      </x:c>
      <x:c r="D21" s="51" t="n">
        <x:f>AVERAGE('Sales History'!K21:M21)</x:f>
        <x:v>146</x:v>
      </x:c>
      <x:c r="E21" s="51" t="n">
        <x:f>AVERAGE('Sales History'!H21:M21)</x:f>
        <x:v>148.33333333333334</x:v>
      </x:c>
      <x:c r="F21" s="52" t="n">
        <x:f>MAX(0,ROUND(E21*(1+MAX(-Assumptions!$B$10,MIN(Assumptions!$B$10,IFERROR((D21/E21-1)*Assumptions!$B$9,0)))),0))</x:f>
        <x:v>148</x:v>
      </x:c>
      <x:c r="G21" s="52" t="n">
        <x:f>F21*6</x:f>
        <x:v>888</x:v>
      </x:c>
      <x:c r="H21" s="52" t="n">
        <x:f>Inventory!J21</x:f>
        <x:v>802</x:v>
      </x:c>
      <x:c r="I21" s="51" t="n">
        <x:f>IFERROR(H21/F21,0)</x:f>
        <x:v>5.418918918918919</x:v>
      </x:c>
      <x:c r="J21" s="52" t="n">
        <x:f>ROUNDUP(F21*U21/30,0)</x:f>
        <x:v>50</x:v>
      </x:c>
      <x:c r="K21" s="52" t="n">
        <x:f>IF(F21=0,0,ROUNDUP(F21*(Assumptions!$B$6+Assumptions!$B$7)+J21,0))</x:f>
        <x:v>901</x:v>
      </x:c>
      <x:c r="L21" s="52" t="n">
        <x:f>MAX(0,K21-H21)</x:f>
        <x:v>99</x:v>
      </x:c>
      <x:c r="M21" s="52" t="n">
        <x:f>IF(OR('SKU Master'!J21&lt;&gt;"Yes",L21=0),0,CEILING(MAX('SKU Master'!I21,L21),'SKU Master'!H21))</x:f>
        <x:v>120</x:v>
      </x:c>
      <x:c r="N21" s="53" t="n">
        <x:f>'SKU Master'!E21</x:f>
        <x:v>33.19</x:v>
      </x:c>
      <x:c r="O21" s="53" t="n">
        <x:f>M21*N21</x:f>
        <x:v>3982.7999999999997</x:v>
      </x:c>
      <x:c r="P21" s="52" t="n">
        <x:f>Inventory!F21</x:f>
        <x:v>0</x:v>
      </x:c>
      <x:c r="Q21" t="str">
        <x:f>IF(P21&gt;0,"EXPIRY ALERT","OK")</x:f>
        <x:v>OK</x:v>
      </x:c>
      <x:c r="R21" s="52" t="n">
        <x:f>MAX(0,H21-F21*Assumptions!$B$11)</x:f>
        <x:v>0</x:v>
      </x:c>
      <x:c r="S21" t="str">
        <x:f>IF(F21=0,IF(H21&gt;0,"EXCESS","HEALTHY"),IF(H21&lt;J21,"CRITICAL",IF(I21&lt;Assumptions!$B$6,"REORDER",IF(I21&gt;Assumptions!$B$11,"EXCESS","HEALTHY"))))</x:f>
        <x:v>HEALTHY</x:v>
      </x:c>
      <x:c r="T21" t="str">
        <x:f>'SKU Master'!D21</x:f>
        <x:v>Meridian Imports</x:v>
      </x:c>
      <x:c r="U21" s="52" t="n">
        <x:f>'SKU Master'!G21</x:f>
        <x:v>10</x:v>
      </x:c>
    </x:row>
    <x:row r="22">
      <x:c r="A22" t="str">
        <x:f>'SKU Master'!A22</x:f>
        <x:v>SKU-018</x:v>
      </x:c>
      <x:c r="B22" t="str">
        <x:f>'SKU Master'!B22</x:f>
        <x:v>Surface Wipes 80ct</x:v>
      </x:c>
      <x:c r="C22" t="str">
        <x:f>'SKU Master'!C22</x:f>
        <x:v>Cleaning</x:v>
      </x:c>
      <x:c r="D22" s="51" t="n">
        <x:f>AVERAGE('Sales History'!K22:M22)</x:f>
        <x:v>315.6666666666667</x:v>
      </x:c>
      <x:c r="E22" s="51" t="n">
        <x:f>AVERAGE('Sales History'!H22:M22)</x:f>
        <x:v>292.5</x:v>
      </x:c>
      <x:c r="F22" s="52" t="n">
        <x:f>MAX(0,ROUND(E22*(1+MAX(-Assumptions!$B$10,MIN(Assumptions!$B$10,IFERROR((D22/E22-1)*Assumptions!$B$9,0)))),0))</x:f>
        <x:v>301</x:v>
      </x:c>
      <x:c r="G22" s="52" t="n">
        <x:f>F22*6</x:f>
        <x:v>1806</x:v>
      </x:c>
      <x:c r="H22" s="52" t="n">
        <x:f>Inventory!J22</x:f>
        <x:v>2447</x:v>
      </x:c>
      <x:c r="I22" s="51" t="n">
        <x:f>IFERROR(H22/F22,0)</x:f>
        <x:v>8.129568106312293</x:v>
      </x:c>
      <x:c r="J22" s="52" t="n">
        <x:f>ROUNDUP(F22*U22/30,0)</x:f>
        <x:v>211</x:v>
      </x:c>
      <x:c r="K22" s="52" t="n">
        <x:f>IF(F22=0,0,ROUNDUP(F22*(Assumptions!$B$6+Assumptions!$B$7)+J22,0))</x:f>
        <x:v>1942</x:v>
      </x:c>
      <x:c r="L22" s="52" t="n">
        <x:f>MAX(0,K22-H22)</x:f>
        <x:v>0</x:v>
      </x:c>
      <x:c r="M22" s="52" t="n">
        <x:f>IF(OR('SKU Master'!J22&lt;&gt;"Yes",L22=0),0,CEILING(MAX('SKU Master'!I22,L22),'SKU Master'!H22))</x:f>
        <x:v>0</x:v>
      </x:c>
      <x:c r="N22" s="53" t="n">
        <x:f>'SKU Master'!E22</x:f>
        <x:v>6.03</x:v>
      </x:c>
      <x:c r="O22" s="53" t="n">
        <x:f>M22*N22</x:f>
        <x:v>0</x:v>
      </x:c>
      <x:c r="P22" s="52" t="n">
        <x:f>Inventory!F22</x:f>
        <x:v>0</x:v>
      </x:c>
      <x:c r="Q22" t="str">
        <x:f>IF(P22&gt;0,"EXPIRY ALERT","OK")</x:f>
        <x:v>OK</x:v>
      </x:c>
      <x:c r="R22" s="52" t="n">
        <x:f>MAX(0,H22-F22*Assumptions!$B$11)</x:f>
        <x:v>340</x:v>
      </x:c>
      <x:c r="S22" t="str">
        <x:f>IF(F22=0,IF(H22&gt;0,"EXCESS","HEALTHY"),IF(H22&lt;J22,"CRITICAL",IF(I22&lt;Assumptions!$B$6,"REORDER",IF(I22&gt;Assumptions!$B$11,"EXCESS","HEALTHY"))))</x:f>
        <x:v>EXCESS</x:v>
      </x:c>
      <x:c r="T22" t="str">
        <x:f>'SKU Master'!D22</x:f>
        <x:v>Blue Ridge Wholesale</x:v>
      </x:c>
      <x:c r="U22" s="52" t="n">
        <x:f>'SKU Master'!G22</x:f>
        <x:v>21</x:v>
      </x:c>
    </x:row>
    <x:row r="23">
      <x:c r="A23" t="str">
        <x:f>'SKU Master'!A23</x:f>
        <x:v>SKU-019</x:v>
      </x:c>
      <x:c r="B23" t="str">
        <x:f>'SKU Master'!B23</x:f>
        <x:v>Printer Paper A4</x:v>
      </x:c>
      <x:c r="C23" t="str">
        <x:f>'SKU Master'!C23</x:f>
        <x:v>Office</x:v>
      </x:c>
      <x:c r="D23" s="51" t="n">
        <x:f>AVERAGE('Sales History'!K23:M23)</x:f>
        <x:v>60</x:v>
      </x:c>
      <x:c r="E23" s="51" t="n">
        <x:f>AVERAGE('Sales History'!H23:M23)</x:f>
        <x:v>59.166666666666664</x:v>
      </x:c>
      <x:c r="F23" s="52" t="n">
        <x:f>MAX(0,ROUND(E23*(1+MAX(-Assumptions!$B$10,MIN(Assumptions!$B$10,IFERROR((D23/E23-1)*Assumptions!$B$9,0)))),0))</x:f>
        <x:v>59</x:v>
      </x:c>
      <x:c r="G23" s="52" t="n">
        <x:f>F23*6</x:f>
        <x:v>354</x:v>
      </x:c>
      <x:c r="H23" s="52" t="n">
        <x:f>Inventory!J23</x:f>
        <x:v>358</x:v>
      </x:c>
      <x:c r="I23" s="51" t="n">
        <x:f>IFERROR(H23/F23,0)</x:f>
        <x:v>6.067796610169491</x:v>
      </x:c>
      <x:c r="J23" s="52" t="n">
        <x:f>ROUNDUP(F23*U23/30,0)</x:f>
        <x:v>56</x:v>
      </x:c>
      <x:c r="K23" s="52" t="n">
        <x:f>IF(F23=0,0,ROUNDUP(F23*(Assumptions!$B$6+Assumptions!$B$7)+J23,0))</x:f>
        <x:v>396</x:v>
      </x:c>
      <x:c r="L23" s="52" t="n">
        <x:f>MAX(0,K23-H23)</x:f>
        <x:v>38</x:v>
      </x:c>
      <x:c r="M23" s="52" t="n">
        <x:f>IF(OR('SKU Master'!J23&lt;&gt;"Yes",L23=0),0,CEILING(MAX('SKU Master'!I23,L23),'SKU Master'!H23))</x:f>
        <x:v>42</x:v>
      </x:c>
      <x:c r="N23" s="53" t="n">
        <x:f>'SKU Master'!E23</x:f>
        <x:v>10.58</x:v>
      </x:c>
      <x:c r="O23" s="53" t="n">
        <x:f>M23*N23</x:f>
        <x:v>444.36</x:v>
      </x:c>
      <x:c r="P23" s="52" t="n">
        <x:f>Inventory!F23</x:f>
        <x:v>0</x:v>
      </x:c>
      <x:c r="Q23" t="str">
        <x:f>IF(P23&gt;0,"EXPIRY ALERT","OK")</x:f>
        <x:v>OK</x:v>
      </x:c>
      <x:c r="R23" s="52" t="n">
        <x:f>MAX(0,H23-F23*Assumptions!$B$11)</x:f>
        <x:v>0</x:v>
      </x:c>
      <x:c r="S23" t="str">
        <x:f>IF(F23=0,IF(H23&gt;0,"EXCESS","HEALTHY"),IF(H23&lt;J23,"CRITICAL",IF(I23&lt;Assumptions!$B$6,"REORDER",IF(I23&gt;Assumptions!$B$11,"EXCESS","HEALTHY"))))</x:f>
        <x:v>HEALTHY</x:v>
      </x:c>
      <x:c r="T23" t="str">
        <x:f>'SKU Master'!D23</x:f>
        <x:v>Apex Trading</x:v>
      </x:c>
      <x:c r="U23" s="52" t="n">
        <x:f>'SKU Master'!G23</x:f>
        <x:v>28</x:v>
      </x:c>
    </x:row>
    <x:row r="24">
      <x:c r="A24" t="str">
        <x:f>'SKU Master'!A24</x:f>
        <x:v>SKU-020</x:v>
      </x:c>
      <x:c r="B24" t="str">
        <x:f>'SKU Master'!B24</x:f>
        <x:v>Blue Ballpoint Pens</x:v>
      </x:c>
      <x:c r="C24" t="str">
        <x:f>'SKU Master'!C24</x:f>
        <x:v>Office</x:v>
      </x:c>
      <x:c r="D24" s="51" t="n">
        <x:f>AVERAGE('Sales History'!K24:M24)</x:f>
        <x:v>105</x:v>
      </x:c>
      <x:c r="E24" s="51" t="n">
        <x:f>AVERAGE('Sales History'!H24:M24)</x:f>
        <x:v>117.16666666666667</x:v>
      </x:c>
      <x:c r="F24" s="52" t="n">
        <x:f>MAX(0,ROUND(E24*(1+MAX(-Assumptions!$B$10,MIN(Assumptions!$B$10,IFERROR((D24/E24-1)*Assumptions!$B$9,0)))),0))</x:f>
        <x:v>113</x:v>
      </x:c>
      <x:c r="G24" s="52" t="n">
        <x:f>F24*6</x:f>
        <x:v>678</x:v>
      </x:c>
      <x:c r="H24" s="52" t="n">
        <x:f>Inventory!J24</x:f>
        <x:v>530</x:v>
      </x:c>
      <x:c r="I24" s="51" t="n">
        <x:f>IFERROR(H24/F24,0)</x:f>
        <x:v>4.6902654867256635</x:v>
      </x:c>
      <x:c r="J24" s="52" t="n">
        <x:f>ROUNDUP(F24*U24/30,0)</x:f>
        <x:v>106</x:v>
      </x:c>
      <x:c r="K24" s="52" t="n">
        <x:f>IF(F24=0,0,ROUNDUP(F24*(Assumptions!$B$6+Assumptions!$B$7)+J24,0))</x:f>
        <x:v>756</x:v>
      </x:c>
      <x:c r="L24" s="52" t="n">
        <x:f>MAX(0,K24-H24)</x:f>
        <x:v>226</x:v>
      </x:c>
      <x:c r="M24" s="52" t="n">
        <x:f>IF(OR('SKU Master'!J24&lt;&gt;"Yes",L24=0),0,CEILING(MAX('SKU Master'!I24,L24),'SKU Master'!H24))</x:f>
        <x:v>240</x:v>
      </x:c>
      <x:c r="N24" s="53" t="n">
        <x:f>'SKU Master'!E24</x:f>
        <x:v>16.82</x:v>
      </x:c>
      <x:c r="O24" s="53" t="n">
        <x:f>M24*N24</x:f>
        <x:v>4036.8</x:v>
      </x:c>
      <x:c r="P24" s="52" t="n">
        <x:f>Inventory!F24</x:f>
        <x:v>0</x:v>
      </x:c>
      <x:c r="Q24" t="str">
        <x:f>IF(P24&gt;0,"EXPIRY ALERT","OK")</x:f>
        <x:v>OK</x:v>
      </x:c>
      <x:c r="R24" s="52" t="n">
        <x:f>MAX(0,H24-F24*Assumptions!$B$11)</x:f>
        <x:v>0</x:v>
      </x:c>
      <x:c r="S24" t="str">
        <x:f>IF(F24=0,IF(H24&gt;0,"EXCESS","HEALTHY"),IF(H24&lt;J24,"CRITICAL",IF(I24&lt;Assumptions!$B$6,"REORDER",IF(I24&gt;Assumptions!$B$11,"EXCESS","HEALTHY"))))</x:f>
        <x:v>REORDER</x:v>
      </x:c>
      <x:c r="T24" t="str">
        <x:f>'SKU Master'!D24</x:f>
        <x:v>Evergreen Distribution</x:v>
      </x:c>
      <x:c r="U24" s="52" t="n">
        <x:f>'SKU Master'!G24</x:f>
        <x:v>28</x:v>
      </x:c>
    </x:row>
    <x:row r="25">
      <x:c r="A25" t="str">
        <x:f>'SKU Master'!A25</x:f>
        <x:v>SKU-021</x:v>
      </x:c>
      <x:c r="B25" t="str">
        <x:f>'SKU Master'!B25</x:f>
        <x:v>Notebooks A5</x:v>
      </x:c>
      <x:c r="C25" t="str">
        <x:f>'SKU Master'!C25</x:f>
        <x:v>Office</x:v>
      </x:c>
      <x:c r="D25" s="51" t="n">
        <x:f>AVERAGE('Sales History'!K25:M25)</x:f>
        <x:v>254.66666666666666</x:v>
      </x:c>
      <x:c r="E25" s="51" t="n">
        <x:f>AVERAGE('Sales History'!H25:M25)</x:f>
        <x:v>234</x:v>
      </x:c>
      <x:c r="F25" s="52" t="n">
        <x:f>MAX(0,ROUND(E25*(1+MAX(-Assumptions!$B$10,MIN(Assumptions!$B$10,IFERROR((D25/E25-1)*Assumptions!$B$9,0)))),0))</x:f>
        <x:v>241</x:v>
      </x:c>
      <x:c r="G25" s="52" t="n">
        <x:f>F25*6</x:f>
        <x:v>1446</x:v>
      </x:c>
      <x:c r="H25" s="52" t="n">
        <x:f>Inventory!J25</x:f>
        <x:v>1017</x:v>
      </x:c>
      <x:c r="I25" s="51" t="n">
        <x:f>IFERROR(H25/F25,0)</x:f>
        <x:v>4.219917012448133</x:v>
      </x:c>
      <x:c r="J25" s="52" t="n">
        <x:f>ROUNDUP(F25*U25/30,0)</x:f>
        <x:v>113</x:v>
      </x:c>
      <x:c r="K25" s="52" t="n">
        <x:f>IF(F25=0,0,ROUNDUP(F25*(Assumptions!$B$6+Assumptions!$B$7)+J25,0))</x:f>
        <x:v>1499</x:v>
      </x:c>
      <x:c r="L25" s="52" t="n">
        <x:f>MAX(0,K25-H25)</x:f>
        <x:v>482</x:v>
      </x:c>
      <x:c r="M25" s="52" t="n">
        <x:f>IF(OR('SKU Master'!J25&lt;&gt;"Yes",L25=0),0,CEILING(MAX('SKU Master'!I25,L25),'SKU Master'!H25))</x:f>
        <x:v>504</x:v>
      </x:c>
      <x:c r="N25" s="53" t="n">
        <x:f>'SKU Master'!E25</x:f>
        <x:v>28.6</x:v>
      </x:c>
      <x:c r="O25" s="53" t="n">
        <x:f>M25*N25</x:f>
        <x:v>14414.400000000001</x:v>
      </x:c>
      <x:c r="P25" s="52" t="n">
        <x:f>Inventory!F25</x:f>
        <x:v>0</x:v>
      </x:c>
      <x:c r="Q25" t="str">
        <x:f>IF(P25&gt;0,"EXPIRY ALERT","OK")</x:f>
        <x:v>OK</x:v>
      </x:c>
      <x:c r="R25" s="52" t="n">
        <x:f>MAX(0,H25-F25*Assumptions!$B$11)</x:f>
        <x:v>0</x:v>
      </x:c>
      <x:c r="S25" t="str">
        <x:f>IF(F25=0,IF(H25&gt;0,"EXCESS","HEALTHY"),IF(H25&lt;J25,"CRITICAL",IF(I25&lt;Assumptions!$B$6,"REORDER",IF(I25&gt;Assumptions!$B$11,"EXCESS","HEALTHY"))))</x:f>
        <x:v>REORDER</x:v>
      </x:c>
      <x:c r="T25" t="str">
        <x:f>'SKU Master'!D25</x:f>
        <x:v>Northstar Supply</x:v>
      </x:c>
      <x:c r="U25" s="52" t="n">
        <x:f>'SKU Master'!G25</x:f>
        <x:v>14</x:v>
      </x:c>
    </x:row>
    <x:row r="26">
      <x:c r="A26" t="str">
        <x:f>'SKU Master'!A26</x:f>
        <x:v>SKU-022</x:v>
      </x:c>
      <x:c r="B26" t="str">
        <x:f>'SKU Master'!B26</x:f>
        <x:v>Sticky Notes 100pk</x:v>
      </x:c>
      <x:c r="C26" t="str">
        <x:f>'SKU Master'!C26</x:f>
        <x:v>Office</x:v>
      </x:c>
      <x:c r="D26" s="51" t="n">
        <x:f>AVERAGE('Sales History'!K26:M26)</x:f>
        <x:v>260.6666666666667</x:v>
      </x:c>
      <x:c r="E26" s="51" t="n">
        <x:f>AVERAGE('Sales History'!H26:M26)</x:f>
        <x:v>246</x:v>
      </x:c>
      <x:c r="F26" s="52" t="n">
        <x:f>MAX(0,ROUND(E26*(1+MAX(-Assumptions!$B$10,MIN(Assumptions!$B$10,IFERROR((D26/E26-1)*Assumptions!$B$9,0)))),0))</x:f>
        <x:v>251</x:v>
      </x:c>
      <x:c r="G26" s="52" t="n">
        <x:f>F26*6</x:f>
        <x:v>1506</x:v>
      </x:c>
      <x:c r="H26" s="52" t="n">
        <x:f>Inventory!J26</x:f>
        <x:v>219</x:v>
      </x:c>
      <x:c r="I26" s="51" t="n">
        <x:f>IFERROR(H26/F26,0)</x:f>
        <x:v>0.8725099601593626</x:v>
      </x:c>
      <x:c r="J26" s="52" t="n">
        <x:f>ROUNDUP(F26*U26/30,0)</x:f>
        <x:v>176</x:v>
      </x:c>
      <x:c r="K26" s="52" t="n">
        <x:f>IF(F26=0,0,ROUNDUP(F26*(Assumptions!$B$6+Assumptions!$B$7)+J26,0))</x:f>
        <x:v>1620</x:v>
      </x:c>
      <x:c r="L26" s="52" t="n">
        <x:f>MAX(0,K26-H26)</x:f>
        <x:v>1401</x:v>
      </x:c>
      <x:c r="M26" s="52" t="n">
        <x:f>IF(OR('SKU Master'!J26&lt;&gt;"Yes",L26=0),0,CEILING(MAX('SKU Master'!I26,L26),'SKU Master'!H26))</x:f>
        <x:v>1404</x:v>
      </x:c>
      <x:c r="N26" s="53" t="n">
        <x:f>'SKU Master'!E26</x:f>
        <x:v>28.87</x:v>
      </x:c>
      <x:c r="O26" s="53" t="n">
        <x:f>M26*N26</x:f>
        <x:v>40533.48</x:v>
      </x:c>
      <x:c r="P26" s="52" t="n">
        <x:f>Inventory!F26</x:f>
        <x:v>35</x:v>
      </x:c>
      <x:c r="Q26" t="str">
        <x:f>IF(P26&gt;0,"EXPIRY ALERT","OK")</x:f>
        <x:v>EXPIRY ALERT</x:v>
      </x:c>
      <x:c r="R26" s="52" t="n">
        <x:f>MAX(0,H26-F26*Assumptions!$B$11)</x:f>
        <x:v>0</x:v>
      </x:c>
      <x:c r="S26" t="str">
        <x:f>IF(F26=0,IF(H26&gt;0,"EXCESS","HEALTHY"),IF(H26&lt;J26,"CRITICAL",IF(I26&lt;Assumptions!$B$6,"REORDER",IF(I26&gt;Assumptions!$B$11,"EXCESS","HEALTHY"))))</x:f>
        <x:v>REORDER</x:v>
      </x:c>
      <x:c r="T26" t="str">
        <x:f>'SKU Master'!D26</x:f>
        <x:v>Meridian Imports</x:v>
      </x:c>
      <x:c r="U26" s="52" t="n">
        <x:f>'SKU Master'!G26</x:f>
        <x:v>21</x:v>
      </x:c>
    </x:row>
    <x:row r="27">
      <x:c r="A27" t="str">
        <x:f>'SKU Master'!A27</x:f>
        <x:v>SKU-023</x:v>
      </x:c>
      <x:c r="B27" t="str">
        <x:f>'SKU Master'!B27</x:f>
        <x:v>Packing Tape 50m</x:v>
      </x:c>
      <x:c r="C27" t="str">
        <x:f>'SKU Master'!C27</x:f>
        <x:v>Office</x:v>
      </x:c>
      <x:c r="D27" s="51" t="n">
        <x:f>AVERAGE('Sales History'!K27:M27)</x:f>
        <x:v>73</x:v>
      </x:c>
      <x:c r="E27" s="51" t="n">
        <x:f>AVERAGE('Sales History'!H27:M27)</x:f>
        <x:v>88.16666666666667</x:v>
      </x:c>
      <x:c r="F27" s="52" t="n">
        <x:f>MAX(0,ROUND(E27*(1+MAX(-Assumptions!$B$10,MIN(Assumptions!$B$10,IFERROR((D27/E27-1)*Assumptions!$B$9,0)))),0))</x:f>
        <x:v>83</x:v>
      </x:c>
      <x:c r="G27" s="52" t="n">
        <x:f>F27*6</x:f>
        <x:v>498</x:v>
      </x:c>
      <x:c r="H27" s="52" t="n">
        <x:f>Inventory!J27</x:f>
        <x:v>504</x:v>
      </x:c>
      <x:c r="I27" s="51" t="n">
        <x:f>IFERROR(H27/F27,0)</x:f>
        <x:v>6.072289156626506</x:v>
      </x:c>
      <x:c r="J27" s="52" t="n">
        <x:f>ROUNDUP(F27*U27/30,0)</x:f>
        <x:v>39</x:v>
      </x:c>
      <x:c r="K27" s="52" t="n">
        <x:f>IF(F27=0,0,ROUNDUP(F27*(Assumptions!$B$6+Assumptions!$B$7)+J27,0))</x:f>
        <x:v>517</x:v>
      </x:c>
      <x:c r="L27" s="52" t="n">
        <x:f>MAX(0,K27-H27)</x:f>
        <x:v>13</x:v>
      </x:c>
      <x:c r="M27" s="52" t="n">
        <x:f>IF(OR('SKU Master'!J27&lt;&gt;"Yes",L27=0),0,CEILING(MAX('SKU Master'!I27,L27),'SKU Master'!H27))</x:f>
        <x:v>24</x:v>
      </x:c>
      <x:c r="N27" s="53" t="n">
        <x:f>'SKU Master'!E27</x:f>
        <x:v>32.33</x:v>
      </x:c>
      <x:c r="O27" s="53" t="n">
        <x:f>M27*N27</x:f>
        <x:v>775.92</x:v>
      </x:c>
      <x:c r="P27" s="52" t="n">
        <x:f>Inventory!F27</x:f>
        <x:v>0</x:v>
      </x:c>
      <x:c r="Q27" t="str">
        <x:f>IF(P27&gt;0,"EXPIRY ALERT","OK")</x:f>
        <x:v>OK</x:v>
      </x:c>
      <x:c r="R27" s="52" t="n">
        <x:f>MAX(0,H27-F27*Assumptions!$B$11)</x:f>
        <x:v>0</x:v>
      </x:c>
      <x:c r="S27" t="str">
        <x:f>IF(F27=0,IF(H27&gt;0,"EXCESS","HEALTHY"),IF(H27&lt;J27,"CRITICAL",IF(I27&lt;Assumptions!$B$6,"REORDER",IF(I27&gt;Assumptions!$B$11,"EXCESS","HEALTHY"))))</x:f>
        <x:v>HEALTHY</x:v>
      </x:c>
      <x:c r="T27" t="str">
        <x:f>'SKU Master'!D27</x:f>
        <x:v>Blue Ridge Wholesale</x:v>
      </x:c>
      <x:c r="U27" s="52" t="n">
        <x:f>'SKU Master'!G27</x:f>
        <x:v>14</x:v>
      </x:c>
    </x:row>
    <x:row r="28">
      <x:c r="A28" t="str">
        <x:f>'SKU Master'!A28</x:f>
        <x:v>SKU-024</x:v>
      </x:c>
      <x:c r="B28" t="str">
        <x:f>'SKU Master'!B28</x:f>
        <x:v>Shipping Labels 100pk</x:v>
      </x:c>
      <x:c r="C28" t="str">
        <x:f>'SKU Master'!C28</x:f>
        <x:v>Office</x:v>
      </x:c>
      <x:c r="D28" s="51" t="n">
        <x:f>AVERAGE('Sales History'!K28:M28)</x:f>
        <x:v>259</x:v>
      </x:c>
      <x:c r="E28" s="51" t="n">
        <x:f>AVERAGE('Sales History'!H28:M28)</x:f>
        <x:v>283</x:v>
      </x:c>
      <x:c r="F28" s="52" t="n">
        <x:f>MAX(0,ROUND(E28*(1+MAX(-Assumptions!$B$10,MIN(Assumptions!$B$10,IFERROR((D28/E28-1)*Assumptions!$B$9,0)))),0))</x:f>
        <x:v>275</x:v>
      </x:c>
      <x:c r="G28" s="52" t="n">
        <x:f>F28*6</x:f>
        <x:v>1650</x:v>
      </x:c>
      <x:c r="H28" s="52" t="n">
        <x:f>Inventory!J28</x:f>
        <x:v>1658</x:v>
      </x:c>
      <x:c r="I28" s="51" t="n">
        <x:f>IFERROR(H28/F28,0)</x:f>
        <x:v>6.029090909090909</x:v>
      </x:c>
      <x:c r="J28" s="52" t="n">
        <x:f>ROUNDUP(F28*U28/30,0)</x:f>
        <x:v>193</x:v>
      </x:c>
      <x:c r="K28" s="52" t="n">
        <x:f>IF(F28=0,0,ROUNDUP(F28*(Assumptions!$B$6+Assumptions!$B$7)+J28,0))</x:f>
        <x:v>1775</x:v>
      </x:c>
      <x:c r="L28" s="52" t="n">
        <x:f>MAX(0,K28-H28)</x:f>
        <x:v>117</x:v>
      </x:c>
      <x:c r="M28" s="52" t="n">
        <x:f>IF(OR('SKU Master'!J28&lt;&gt;"Yes",L28=0),0,CEILING(MAX('SKU Master'!I28,L28),'SKU Master'!H28))</x:f>
        <x:v>120</x:v>
      </x:c>
      <x:c r="N28" s="53" t="n">
        <x:f>'SKU Master'!E28</x:f>
        <x:v>22.2</x:v>
      </x:c>
      <x:c r="O28" s="53" t="n">
        <x:f>M28*N28</x:f>
        <x:v>2664</x:v>
      </x:c>
      <x:c r="P28" s="52" t="n">
        <x:f>Inventory!F28</x:f>
        <x:v>0</x:v>
      </x:c>
      <x:c r="Q28" t="str">
        <x:f>IF(P28&gt;0,"EXPIRY ALERT","OK")</x:f>
        <x:v>OK</x:v>
      </x:c>
      <x:c r="R28" s="52" t="n">
        <x:f>MAX(0,H28-F28*Assumptions!$B$11)</x:f>
        <x:v>0</x:v>
      </x:c>
      <x:c r="S28" t="str">
        <x:f>IF(F28=0,IF(H28&gt;0,"EXCESS","HEALTHY"),IF(H28&lt;J28,"CRITICAL",IF(I28&lt;Assumptions!$B$6,"REORDER",IF(I28&gt;Assumptions!$B$11,"EXCESS","HEALTHY"))))</x:f>
        <x:v>HEALTHY</x:v>
      </x:c>
      <x:c r="T28" t="str">
        <x:f>'SKU Master'!D28</x:f>
        <x:v>Apex Trading</x:v>
      </x:c>
      <x:c r="U28" s="52" t="n">
        <x:f>'SKU Master'!G28</x:f>
        <x:v>21</x:v>
      </x:c>
    </x:row>
    <x:row r="29">
      <x:c r="A29" t="str">
        <x:f>'SKU Master'!A29</x:f>
        <x:v>SKU-025</x:v>
      </x:c>
      <x:c r="B29" t="str">
        <x:f>'SKU Master'!B29</x:f>
        <x:v>Hand Cream 100ml</x:v>
      </x:c>
      <x:c r="C29" t="str">
        <x:f>'SKU Master'!C29</x:f>
        <x:v>Personal Care</x:v>
      </x:c>
      <x:c r="D29" s="51" t="n">
        <x:f>AVERAGE('Sales History'!K29:M29)</x:f>
        <x:v>224</x:v>
      </x:c>
      <x:c r="E29" s="51" t="n">
        <x:f>AVERAGE('Sales History'!H29:M29)</x:f>
        <x:v>208</x:v>
      </x:c>
      <x:c r="F29" s="52" t="n">
        <x:f>MAX(0,ROUND(E29*(1+MAX(-Assumptions!$B$10,MIN(Assumptions!$B$10,IFERROR((D29/E29-1)*Assumptions!$B$9,0)))),0))</x:f>
        <x:v>214</x:v>
      </x:c>
      <x:c r="G29" s="52" t="n">
        <x:f>F29*6</x:f>
        <x:v>1284</x:v>
      </x:c>
      <x:c r="H29" s="52" t="n">
        <x:f>Inventory!J29</x:f>
        <x:v>341</x:v>
      </x:c>
      <x:c r="I29" s="51" t="n">
        <x:f>IFERROR(H29/F29,0)</x:f>
        <x:v>1.5934579439252337</x:v>
      </x:c>
      <x:c r="J29" s="52" t="n">
        <x:f>ROUNDUP(F29*U29/30,0)</x:f>
        <x:v>50</x:v>
      </x:c>
      <x:c r="K29" s="52" t="n">
        <x:f>IF(F29=0,0,ROUNDUP(F29*(Assumptions!$B$6+Assumptions!$B$7)+J29,0))</x:f>
        <x:v>1281</x:v>
      </x:c>
      <x:c r="L29" s="52" t="n">
        <x:f>MAX(0,K29-H29)</x:f>
        <x:v>940</x:v>
      </x:c>
      <x:c r="M29" s="52" t="n">
        <x:f>IF(OR('SKU Master'!J29&lt;&gt;"Yes",L29=0),0,CEILING(MAX('SKU Master'!I29,L29),'SKU Master'!H29))</x:f>
        <x:v>960</x:v>
      </x:c>
      <x:c r="N29" s="53" t="n">
        <x:f>'SKU Master'!E29</x:f>
        <x:v>23.17</x:v>
      </x:c>
      <x:c r="O29" s="53" t="n">
        <x:f>M29*N29</x:f>
        <x:v>22243.2</x:v>
      </x:c>
      <x:c r="P29" s="52" t="n">
        <x:f>Inventory!F29</x:f>
        <x:v>0</x:v>
      </x:c>
      <x:c r="Q29" t="str">
        <x:f>IF(P29&gt;0,"EXPIRY ALERT","OK")</x:f>
        <x:v>OK</x:v>
      </x:c>
      <x:c r="R29" s="52" t="n">
        <x:f>MAX(0,H29-F29*Assumptions!$B$11)</x:f>
        <x:v>0</x:v>
      </x:c>
      <x:c r="S29" t="str">
        <x:f>IF(F29=0,IF(H29&gt;0,"EXCESS","HEALTHY"),IF(H29&lt;J29,"CRITICAL",IF(I29&lt;Assumptions!$B$6,"REORDER",IF(I29&gt;Assumptions!$B$11,"EXCESS","HEALTHY"))))</x:f>
        <x:v>REORDER</x:v>
      </x:c>
      <x:c r="T29" t="str">
        <x:f>'SKU Master'!D29</x:f>
        <x:v>Evergreen Distribution</x:v>
      </x:c>
      <x:c r="U29" s="52" t="n">
        <x:f>'SKU Master'!G29</x:f>
        <x:v>7</x:v>
      </x:c>
    </x:row>
    <x:row r="30">
      <x:c r="A30" t="str">
        <x:f>'SKU Master'!A30</x:f>
        <x:v>SKU-026</x:v>
      </x:c>
      <x:c r="B30" t="str">
        <x:f>'SKU Master'!B30</x:f>
        <x:v>Shampoo 400ml</x:v>
      </x:c>
      <x:c r="C30" t="str">
        <x:f>'SKU Master'!C30</x:f>
        <x:v>Personal Care</x:v>
      </x:c>
      <x:c r="D30" s="51" t="n">
        <x:f>AVERAGE('Sales History'!K30:M30)</x:f>
        <x:v>51.666666666666664</x:v>
      </x:c>
      <x:c r="E30" s="51" t="n">
        <x:f>AVERAGE('Sales History'!H30:M30)</x:f>
        <x:v>52.333333333333336</x:v>
      </x:c>
      <x:c r="F30" s="52" t="n">
        <x:f>MAX(0,ROUND(E30*(1+MAX(-Assumptions!$B$10,MIN(Assumptions!$B$10,IFERROR((D30/E30-1)*Assumptions!$B$9,0)))),0))</x:f>
        <x:v>52</x:v>
      </x:c>
      <x:c r="G30" s="52" t="n">
        <x:f>F30*6</x:f>
        <x:v>312</x:v>
      </x:c>
      <x:c r="H30" s="52" t="n">
        <x:f>Inventory!J30</x:f>
        <x:v>368</x:v>
      </x:c>
      <x:c r="I30" s="51" t="n">
        <x:f>IFERROR(H30/F30,0)</x:f>
        <x:v>7.076923076923077</x:v>
      </x:c>
      <x:c r="J30" s="52" t="n">
        <x:f>ROUNDUP(F30*U30/30,0)</x:f>
        <x:v>61</x:v>
      </x:c>
      <x:c r="K30" s="52" t="n">
        <x:f>IF(F30=0,0,ROUNDUP(F30*(Assumptions!$B$6+Assumptions!$B$7)+J30,0))</x:f>
        <x:v>360</x:v>
      </x:c>
      <x:c r="L30" s="52" t="n">
        <x:f>MAX(0,K30-H30)</x:f>
        <x:v>0</x:v>
      </x:c>
      <x:c r="M30" s="52" t="n">
        <x:f>IF(OR('SKU Master'!J30&lt;&gt;"Yes",L30=0),0,CEILING(MAX('SKU Master'!I30,L30),'SKU Master'!H30))</x:f>
        <x:v>0</x:v>
      </x:c>
      <x:c r="N30" s="53" t="n">
        <x:f>'SKU Master'!E30</x:f>
        <x:v>10.25</x:v>
      </x:c>
      <x:c r="O30" s="53" t="n">
        <x:f>M30*N30</x:f>
        <x:v>0</x:v>
      </x:c>
      <x:c r="P30" s="52" t="n">
        <x:f>Inventory!F30</x:f>
        <x:v>0</x:v>
      </x:c>
      <x:c r="Q30" t="str">
        <x:f>IF(P30&gt;0,"EXPIRY ALERT","OK")</x:f>
        <x:v>OK</x:v>
      </x:c>
      <x:c r="R30" s="52" t="n">
        <x:f>MAX(0,H30-F30*Assumptions!$B$11)</x:f>
        <x:v>4</x:v>
      </x:c>
      <x:c r="S30" t="str">
        <x:f>IF(F30=0,IF(H30&gt;0,"EXCESS","HEALTHY"),IF(H30&lt;J30,"CRITICAL",IF(I30&lt;Assumptions!$B$6,"REORDER",IF(I30&gt;Assumptions!$B$11,"EXCESS","HEALTHY"))))</x:f>
        <x:v>EXCESS</x:v>
      </x:c>
      <x:c r="T30" t="str">
        <x:f>'SKU Master'!D30</x:f>
        <x:v>Northstar Supply</x:v>
      </x:c>
      <x:c r="U30" s="52" t="n">
        <x:f>'SKU Master'!G30</x:f>
        <x:v>35</x:v>
      </x:c>
    </x:row>
    <x:row r="31">
      <x:c r="A31" t="str">
        <x:f>'SKU Master'!A31</x:f>
        <x:v>SKU-027</x:v>
      </x:c>
      <x:c r="B31" t="str">
        <x:f>'SKU Master'!B31</x:f>
        <x:v>Toothpaste 100ml</x:v>
      </x:c>
      <x:c r="C31" t="str">
        <x:f>'SKU Master'!C31</x:f>
        <x:v>Personal Care</x:v>
      </x:c>
      <x:c r="D31" s="51" t="n">
        <x:f>AVERAGE('Sales History'!K31:M31)</x:f>
        <x:v>103</x:v>
      </x:c>
      <x:c r="E31" s="51" t="n">
        <x:f>AVERAGE('Sales History'!H31:M31)</x:f>
        <x:v>116.83333333333333</x:v>
      </x:c>
      <x:c r="F31" s="52" t="n">
        <x:f>MAX(0,ROUND(E31*(1+MAX(-Assumptions!$B$10,MIN(Assumptions!$B$10,IFERROR((D31/E31-1)*Assumptions!$B$9,0)))),0))</x:f>
        <x:v>112</x:v>
      </x:c>
      <x:c r="G31" s="52" t="n">
        <x:f>F31*6</x:f>
        <x:v>672</x:v>
      </x:c>
      <x:c r="H31" s="52" t="n">
        <x:f>Inventory!J31</x:f>
        <x:v>378</x:v>
      </x:c>
      <x:c r="I31" s="51" t="n">
        <x:f>IFERROR(H31/F31,0)</x:f>
        <x:v>3.375</x:v>
      </x:c>
      <x:c r="J31" s="52" t="n">
        <x:f>ROUNDUP(F31*U31/30,0)</x:f>
        <x:v>38</x:v>
      </x:c>
      <x:c r="K31" s="52" t="n">
        <x:f>IF(F31=0,0,ROUNDUP(F31*(Assumptions!$B$6+Assumptions!$B$7)+J31,0))</x:f>
        <x:v>682</x:v>
      </x:c>
      <x:c r="L31" s="52" t="n">
        <x:f>MAX(0,K31-H31)</x:f>
        <x:v>304</x:v>
      </x:c>
      <x:c r="M31" s="52" t="n">
        <x:f>IF(OR('SKU Master'!J31&lt;&gt;"Yes",L31=0),0,CEILING(MAX('SKU Master'!I31,L31),'SKU Master'!H31))</x:f>
        <x:v>306</x:v>
      </x:c>
      <x:c r="N31" s="53" t="n">
        <x:f>'SKU Master'!E31</x:f>
        <x:v>8.08</x:v>
      </x:c>
      <x:c r="O31" s="53" t="n">
        <x:f>M31*N31</x:f>
        <x:v>2472.48</x:v>
      </x:c>
      <x:c r="P31" s="52" t="n">
        <x:f>Inventory!F31</x:f>
        <x:v>0</x:v>
      </x:c>
      <x:c r="Q31" t="str">
        <x:f>IF(P31&gt;0,"EXPIRY ALERT","OK")</x:f>
        <x:v>OK</x:v>
      </x:c>
      <x:c r="R31" s="52" t="n">
        <x:f>MAX(0,H31-F31*Assumptions!$B$11)</x:f>
        <x:v>0</x:v>
      </x:c>
      <x:c r="S31" t="str">
        <x:f>IF(F31=0,IF(H31&gt;0,"EXCESS","HEALTHY"),IF(H31&lt;J31,"CRITICAL",IF(I31&lt;Assumptions!$B$6,"REORDER",IF(I31&gt;Assumptions!$B$11,"EXCESS","HEALTHY"))))</x:f>
        <x:v>REORDER</x:v>
      </x:c>
      <x:c r="T31" t="str">
        <x:f>'SKU Master'!D31</x:f>
        <x:v>Meridian Imports</x:v>
      </x:c>
      <x:c r="U31" s="52" t="n">
        <x:f>'SKU Master'!G31</x:f>
        <x:v>10</x:v>
      </x:c>
    </x:row>
    <x:row r="32">
      <x:c r="A32" t="str">
        <x:f>'SKU Master'!A32</x:f>
        <x:v>SKU-028</x:v>
      </x:c>
      <x:c r="B32" t="str">
        <x:f>'SKU Master'!B32</x:f>
        <x:v>Hand Wash 500ml</x:v>
      </x:c>
      <x:c r="C32" t="str">
        <x:f>'SKU Master'!C32</x:f>
        <x:v>Personal Care</x:v>
      </x:c>
      <x:c r="D32" s="51" t="n">
        <x:f>AVERAGE('Sales History'!K32:M32)</x:f>
        <x:v>112.33333333333333</x:v>
      </x:c>
      <x:c r="E32" s="51" t="n">
        <x:f>AVERAGE('Sales History'!H32:M32)</x:f>
        <x:v>100.16666666666667</x:v>
      </x:c>
      <x:c r="F32" s="52" t="n">
        <x:f>MAX(0,ROUND(E32*(1+MAX(-Assumptions!$B$10,MIN(Assumptions!$B$10,IFERROR((D32/E32-1)*Assumptions!$B$9,0)))),0))</x:f>
        <x:v>104</x:v>
      </x:c>
      <x:c r="G32" s="52" t="n">
        <x:f>F32*6</x:f>
        <x:v>624</x:v>
      </x:c>
      <x:c r="H32" s="52" t="n">
        <x:f>Inventory!J32</x:f>
        <x:v>578</x:v>
      </x:c>
      <x:c r="I32" s="51" t="n">
        <x:f>IFERROR(H32/F32,0)</x:f>
        <x:v>5.5576923076923075</x:v>
      </x:c>
      <x:c r="J32" s="52" t="n">
        <x:f>ROUNDUP(F32*U32/30,0)</x:f>
        <x:v>49</x:v>
      </x:c>
      <x:c r="K32" s="52" t="n">
        <x:f>IF(F32=0,0,ROUNDUP(F32*(Assumptions!$B$6+Assumptions!$B$7)+J32,0))</x:f>
        <x:v>647</x:v>
      </x:c>
      <x:c r="L32" s="52" t="n">
        <x:f>MAX(0,K32-H32)</x:f>
        <x:v>69</x:v>
      </x:c>
      <x:c r="M32" s="52" t="n">
        <x:f>IF(OR('SKU Master'!J32&lt;&gt;"Yes",L32=0),0,CEILING(MAX('SKU Master'!I32,L32),'SKU Master'!H32))</x:f>
        <x:v>72</x:v>
      </x:c>
      <x:c r="N32" s="53" t="n">
        <x:f>'SKU Master'!E32</x:f>
        <x:v>6.77</x:v>
      </x:c>
      <x:c r="O32" s="53" t="n">
        <x:f>M32*N32</x:f>
        <x:v>487.43999999999994</x:v>
      </x:c>
      <x:c r="P32" s="52" t="n">
        <x:f>Inventory!F32</x:f>
        <x:v>0</x:v>
      </x:c>
      <x:c r="Q32" t="str">
        <x:f>IF(P32&gt;0,"EXPIRY ALERT","OK")</x:f>
        <x:v>OK</x:v>
      </x:c>
      <x:c r="R32" s="52" t="n">
        <x:f>MAX(0,H32-F32*Assumptions!$B$11)</x:f>
        <x:v>0</x:v>
      </x:c>
      <x:c r="S32" t="str">
        <x:f>IF(F32=0,IF(H32&gt;0,"EXCESS","HEALTHY"),IF(H32&lt;J32,"CRITICAL",IF(I32&lt;Assumptions!$B$6,"REORDER",IF(I32&gt;Assumptions!$B$11,"EXCESS","HEALTHY"))))</x:f>
        <x:v>HEALTHY</x:v>
      </x:c>
      <x:c r="T32" t="str">
        <x:f>'SKU Master'!D32</x:f>
        <x:v>Blue Ridge Wholesale</x:v>
      </x:c>
      <x:c r="U32" s="52" t="n">
        <x:f>'SKU Master'!G32</x:f>
        <x:v>14</x:v>
      </x:c>
    </x:row>
    <x:row r="33">
      <x:c r="A33" t="str">
        <x:f>'SKU Master'!A33</x:f>
        <x:v>SKU-029</x:v>
      </x:c>
      <x:c r="B33" t="str">
        <x:f>'SKU Master'!B33</x:f>
        <x:v>Sunscreen SPF50</x:v>
      </x:c>
      <x:c r="C33" t="str">
        <x:f>'SKU Master'!C33</x:f>
        <x:v>Personal Care</x:v>
      </x:c>
      <x:c r="D33" s="51" t="n">
        <x:f>AVERAGE('Sales History'!K33:M33)</x:f>
        <x:v>241.33333333333334</x:v>
      </x:c>
      <x:c r="E33" s="51" t="n">
        <x:f>AVERAGE('Sales History'!H33:M33)</x:f>
        <x:v>217.33333333333334</x:v>
      </x:c>
      <x:c r="F33" s="52" t="n">
        <x:f>MAX(0,ROUND(E33*(1+MAX(-Assumptions!$B$10,MIN(Assumptions!$B$10,IFERROR((D33/E33-1)*Assumptions!$B$9,0)))),0))</x:f>
        <x:v>226</x:v>
      </x:c>
      <x:c r="G33" s="52" t="n">
        <x:f>F33*6</x:f>
        <x:v>1356</x:v>
      </x:c>
      <x:c r="H33" s="52" t="n">
        <x:f>Inventory!J33</x:f>
        <x:v>1435</x:v>
      </x:c>
      <x:c r="I33" s="51" t="n">
        <x:f>IFERROR(H33/F33,0)</x:f>
        <x:v>6.349557522123894</x:v>
      </x:c>
      <x:c r="J33" s="52" t="n">
        <x:f>ROUNDUP(F33*U33/30,0)</x:f>
        <x:v>53</x:v>
      </x:c>
      <x:c r="K33" s="52" t="n">
        <x:f>IF(F33=0,0,ROUNDUP(F33*(Assumptions!$B$6+Assumptions!$B$7)+J33,0))</x:f>
        <x:v>1353</x:v>
      </x:c>
      <x:c r="L33" s="52" t="n">
        <x:f>MAX(0,K33-H33)</x:f>
        <x:v>0</x:v>
      </x:c>
      <x:c r="M33" s="52" t="n">
        <x:f>IF(OR('SKU Master'!J33&lt;&gt;"Yes",L33=0),0,CEILING(MAX('SKU Master'!I33,L33),'SKU Master'!H33))</x:f>
        <x:v>0</x:v>
      </x:c>
      <x:c r="N33" s="53" t="n">
        <x:f>'SKU Master'!E33</x:f>
        <x:v>15.13</x:v>
      </x:c>
      <x:c r="O33" s="53" t="n">
        <x:f>M33*N33</x:f>
        <x:v>0</x:v>
      </x:c>
      <x:c r="P33" s="52" t="n">
        <x:f>Inventory!F33</x:f>
        <x:v>560</x:v>
      </x:c>
      <x:c r="Q33" t="str">
        <x:f>IF(P33&gt;0,"EXPIRY ALERT","OK")</x:f>
        <x:v>EXPIRY ALERT</x:v>
      </x:c>
      <x:c r="R33" s="52" t="n">
        <x:f>MAX(0,H33-F33*Assumptions!$B$11)</x:f>
        <x:v>0</x:v>
      </x:c>
      <x:c r="S33" t="str">
        <x:f>IF(F33=0,IF(H33&gt;0,"EXCESS","HEALTHY"),IF(H33&lt;J33,"CRITICAL",IF(I33&lt;Assumptions!$B$6,"REORDER",IF(I33&gt;Assumptions!$B$11,"EXCESS","HEALTHY"))))</x:f>
        <x:v>HEALTHY</x:v>
      </x:c>
      <x:c r="T33" t="str">
        <x:f>'SKU Master'!D33</x:f>
        <x:v>Apex Trading</x:v>
      </x:c>
      <x:c r="U33" s="52" t="n">
        <x:f>'SKU Master'!G33</x:f>
        <x:v>7</x:v>
      </x:c>
    </x:row>
    <x:row r="34">
      <x:c r="A34" t="str">
        <x:f>'SKU Master'!A34</x:f>
        <x:v>SKU-030</x:v>
      </x:c>
      <x:c r="B34" t="str">
        <x:f>'SKU Master'!B34</x:f>
        <x:v>Lip Balm 15ml</x:v>
      </x:c>
      <x:c r="C34" t="str">
        <x:f>'SKU Master'!C34</x:f>
        <x:v>Personal Care</x:v>
      </x:c>
      <x:c r="D34" s="51" t="n">
        <x:f>AVERAGE('Sales History'!K34:M34)</x:f>
        <x:v>163</x:v>
      </x:c>
      <x:c r="E34" s="51" t="n">
        <x:f>AVERAGE('Sales History'!H34:M34)</x:f>
        <x:v>150.16666666666666</x:v>
      </x:c>
      <x:c r="F34" s="52" t="n">
        <x:f>MAX(0,ROUND(E34*(1+MAX(-Assumptions!$B$10,MIN(Assumptions!$B$10,IFERROR((D34/E34-1)*Assumptions!$B$9,0)))),0))</x:f>
        <x:v>155</x:v>
      </x:c>
      <x:c r="G34" s="52" t="n">
        <x:f>F34*6</x:f>
        <x:v>930</x:v>
      </x:c>
      <x:c r="H34" s="52" t="n">
        <x:f>Inventory!J34</x:f>
        <x:v>966</x:v>
      </x:c>
      <x:c r="I34" s="51" t="n">
        <x:f>IFERROR(H34/F34,0)</x:f>
        <x:v>6.232258064516129</x:v>
      </x:c>
      <x:c r="J34" s="52" t="n">
        <x:f>ROUNDUP(F34*U34/30,0)</x:f>
        <x:v>37</x:v>
      </x:c>
      <x:c r="K34" s="52" t="n">
        <x:f>IF(F34=0,0,ROUNDUP(F34*(Assumptions!$B$6+Assumptions!$B$7)+J34,0))</x:f>
        <x:v>929</x:v>
      </x:c>
      <x:c r="L34" s="52" t="n">
        <x:f>MAX(0,K34-H34)</x:f>
        <x:v>0</x:v>
      </x:c>
      <x:c r="M34" s="52" t="n">
        <x:f>IF(OR('SKU Master'!J34&lt;&gt;"Yes",L34=0),0,CEILING(MAX('SKU Master'!I34,L34),'SKU Master'!H34))</x:f>
        <x:v>0</x:v>
      </x:c>
      <x:c r="N34" s="53" t="n">
        <x:f>'SKU Master'!E34</x:f>
        <x:v>6.3</x:v>
      </x:c>
      <x:c r="O34" s="53" t="n">
        <x:f>M34*N34</x:f>
        <x:v>0</x:v>
      </x:c>
      <x:c r="P34" s="52" t="n">
        <x:f>Inventory!F34</x:f>
        <x:v>0</x:v>
      </x:c>
      <x:c r="Q34" t="str">
        <x:f>IF(P34&gt;0,"EXPIRY ALERT","OK")</x:f>
        <x:v>OK</x:v>
      </x:c>
      <x:c r="R34" s="52" t="n">
        <x:f>MAX(0,H34-F34*Assumptions!$B$11)</x:f>
        <x:v>0</x:v>
      </x:c>
      <x:c r="S34" t="str">
        <x:f>IF(F34=0,IF(H34&gt;0,"EXCESS","HEALTHY"),IF(H34&lt;J34,"CRITICAL",IF(I34&lt;Assumptions!$B$6,"REORDER",IF(I34&gt;Assumptions!$B$11,"EXCESS","HEALTHY"))))</x:f>
        <x:v>HEALTHY</x:v>
      </x:c>
      <x:c r="T34" t="str">
        <x:f>'SKU Master'!D34</x:f>
        <x:v>Evergreen Distribution</x:v>
      </x:c>
      <x:c r="U34" s="52" t="n">
        <x:f>'SKU Master'!G34</x:f>
        <x:v>7</x:v>
      </x:c>
    </x:row>
  </x:sheetData>
  <x:mergeCells>
    <x:mergeCell ref="A1:U2"/>
  </x:mergeCells>
  <x:conditionalFormatting sqref="S5:S34">
    <x:cfRule type="expression" dxfId="0" priority="1">
      <x:formula>S5="CRITICAL"</x:formula>
    </x:cfRule>
    <x:cfRule type="expression" dxfId="1" priority="2">
      <x:formula>S5="REORDER"</x:formula>
    </x:cfRule>
    <x:cfRule type="expression" dxfId="2" priority="3">
      <x:formula>S5="HEALTHY"</x:formula>
    </x:cfRule>
  </x:conditionalFormatting>
  <x:conditionalFormatting sqref="Q5:Q34">
    <x:cfRule type="expression" dxfId="3" priority="4">
      <x:formula>Q5="EXPIRY ALERT"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19f133d75644b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5" hidden="0" customWidth="1"/>
    <x:col min="4" max="4" width="32" hidden="0" customWidth="1"/>
    <x:col min="5" max="5" width="18" hidden="0" customWidth="1"/>
    <x:col min="6" max="6" width="17" hidden="0" customWidth="1"/>
    <x:col min="7" max="7" width="18" hidden="0" customWidth="1"/>
    <x:col min="8" max="8" width="21" hidden="0" customWidth="1"/>
    <x:col min="9" max="9" width="24" hidden="0" customWidth="1"/>
    <x:col min="10" max="10" width="16" hidden="0" customWidth="1"/>
  </x:cols>
  <x:sheetData>
    <x:row r="1" ht="25" customHeight="1">
      <x:c r="A1" s="3" t="str">
        <x:v>PURCHASE ORDER PLANNER  |  Suggested lines, not transmitted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35" customHeight="1">
      <x:c r="A4" s="9" t="str">
        <x:v>PO line</x:v>
      </x:c>
      <x:c r="B4" s="9" t="str">
        <x:v>Supplier</x:v>
      </x:c>
      <x:c r="C4" s="9" t="str">
        <x:v>SKU</x:v>
      </x:c>
      <x:c r="D4" s="9" t="str">
        <x:v>Product</x:v>
      </x:c>
      <x:c r="E4" s="9" t="str">
        <x:v>Buy units</x:v>
      </x:c>
      <x:c r="F4" s="9" t="str">
        <x:v>Pack size</x:v>
      </x:c>
      <x:c r="G4" s="9" t="str">
        <x:v>Unit cost</x:v>
      </x:c>
      <x:c r="H4" s="9" t="str">
        <x:v>Line value</x:v>
      </x:c>
      <x:c r="I4" s="9" t="str">
        <x:v>Action</x:v>
      </x:c>
      <x:c r="J4" s="9" t="str">
        <x:v>Lead days</x:v>
      </x:c>
    </x:row>
    <x:row r="5">
      <x:c r="A5" t="str">
        <x:f>IF(E5&gt;0,"PO-"&amp;TEXT(ROW()-4,"000"),"")</x:f>
      </x:c>
      <x:c r="B5" t="str">
        <x:f>'Forecast &amp; Reorder'!T5</x:f>
        <x:v>Northstar Supply</x:v>
      </x:c>
      <x:c r="C5" t="str">
        <x:f>'Forecast &amp; Reorder'!A5</x:f>
        <x:v>SKU-001</x:v>
      </x:c>
      <x:c r="D5" t="str">
        <x:f>'Forecast &amp; Reorder'!B5</x:f>
        <x:v>Sparkling Water 500ml</x:v>
      </x:c>
      <x:c r="E5" s="52" t="n">
        <x:f>'Forecast &amp; Reorder'!M5</x:f>
        <x:v>0</x:v>
      </x:c>
      <x:c r="F5" s="52" t="n">
        <x:f>'SKU Master'!H5</x:f>
        <x:v>24</x:v>
      </x:c>
      <x:c r="G5" s="28" t="n">
        <x:f>'Forecast &amp; Reorder'!N5</x:f>
        <x:v>13.81</x:v>
      </x:c>
      <x:c r="H5" s="28" t="n">
        <x:f>E5*G5</x:f>
        <x:v>0</x:v>
      </x:c>
      <x:c r="I5" t="str">
        <x:f>IF(E5&gt;0,"REVIEW / APPROVE","NO ORDER")</x:f>
        <x:v>NO ORDER</x:v>
      </x:c>
      <x:c r="J5" s="52" t="n">
        <x:f>'SKU Master'!G5</x:f>
        <x:v>21</x:v>
      </x:c>
    </x:row>
    <x:row r="6">
      <x:c r="A6" t="str">
        <x:f>IF(E6&gt;0,"PO-"&amp;TEXT(ROW()-4,"000"),"")</x:f>
      </x:c>
      <x:c r="B6" t="str">
        <x:f>'Forecast &amp; Reorder'!T6</x:f>
        <x:v>Meridian Imports</x:v>
      </x:c>
      <x:c r="C6" t="str">
        <x:f>'Forecast &amp; Reorder'!A6</x:f>
        <x:v>SKU-002</x:v>
      </x:c>
      <x:c r="D6" t="str">
        <x:f>'Forecast &amp; Reorder'!B6</x:f>
        <x:v>Still Water 1L</x:v>
      </x:c>
      <x:c r="E6" s="52" t="n">
        <x:f>'Forecast &amp; Reorder'!M6</x:f>
        <x:v>0</x:v>
      </x:c>
      <x:c r="F6" s="52" t="n">
        <x:f>'SKU Master'!H6</x:f>
        <x:v>24</x:v>
      </x:c>
      <x:c r="G6" s="28" t="n">
        <x:f>'Forecast &amp; Reorder'!N6</x:f>
        <x:v>13.53</x:v>
      </x:c>
      <x:c r="H6" s="28" t="n">
        <x:f>E6*G6</x:f>
        <x:v>0</x:v>
      </x:c>
      <x:c r="I6" t="str">
        <x:f>IF(E6&gt;0,"REVIEW / APPROVE","NO ORDER")</x:f>
        <x:v>NO ORDER</x:v>
      </x:c>
      <x:c r="J6" s="52" t="n">
        <x:f>'SKU Master'!G6</x:f>
        <x:v>21</x:v>
      </x:c>
    </x:row>
    <x:row r="7">
      <x:c r="A7" t="str">
        <x:f>IF(E7&gt;0,"PO-"&amp;TEXT(ROW()-4,"000"),"")</x:f>
      </x:c>
      <x:c r="B7" t="str">
        <x:f>'Forecast &amp; Reorder'!T7</x:f>
        <x:v>Blue Ridge Wholesale</x:v>
      </x:c>
      <x:c r="C7" t="str">
        <x:f>'Forecast &amp; Reorder'!A7</x:f>
        <x:v>SKU-003</x:v>
      </x:c>
      <x:c r="D7" t="str">
        <x:f>'Forecast &amp; Reorder'!B7</x:f>
        <x:v>Cold Brew Coffee</x:v>
      </x:c>
      <x:c r="E7" s="52" t="n">
        <x:f>'Forecast &amp; Reorder'!M7</x:f>
        <x:v>0</x:v>
      </x:c>
      <x:c r="F7" s="52" t="n">
        <x:f>'SKU Master'!H7</x:f>
        <x:v>6</x:v>
      </x:c>
      <x:c r="G7" s="28" t="n">
        <x:f>'Forecast &amp; Reorder'!N7</x:f>
        <x:v>3.64</x:v>
      </x:c>
      <x:c r="H7" s="28" t="n">
        <x:f>E7*G7</x:f>
        <x:v>0</x:v>
      </x:c>
      <x:c r="I7" t="str">
        <x:f>IF(E7&gt;0,"REVIEW / APPROVE","NO ORDER")</x:f>
        <x:v>NO ORDER</x:v>
      </x:c>
      <x:c r="J7" s="52" t="n">
        <x:f>'SKU Master'!G7</x:f>
        <x:v>7</x:v>
      </x:c>
    </x:row>
    <x:row r="8">
      <x:c r="A8" t="str">
        <x:f>IF(E8&gt;0,"PO-"&amp;TEXT(ROW()-4,"000"),"")</x:f>
        <x:v>PO-004</x:v>
      </x:c>
      <x:c r="B8" t="str">
        <x:f>'Forecast &amp; Reorder'!T8</x:f>
        <x:v>Apex Trading</x:v>
      </x:c>
      <x:c r="C8" t="str">
        <x:f>'Forecast &amp; Reorder'!A8</x:f>
        <x:v>SKU-004</x:v>
      </x:c>
      <x:c r="D8" t="str">
        <x:f>'Forecast &amp; Reorder'!B8</x:f>
        <x:v>Green Tea 330ml</x:v>
      </x:c>
      <x:c r="E8" s="52" t="n">
        <x:f>'Forecast &amp; Reorder'!M8</x:f>
        <x:v>264</x:v>
      </x:c>
      <x:c r="F8" s="52" t="n">
        <x:f>'SKU Master'!H8</x:f>
        <x:v>24</x:v>
      </x:c>
      <x:c r="G8" s="28" t="n">
        <x:f>'Forecast &amp; Reorder'!N8</x:f>
        <x:v>2.32</x:v>
      </x:c>
      <x:c r="H8" s="28" t="n">
        <x:f>E8*G8</x:f>
        <x:v>612.4799999999999</x:v>
      </x:c>
      <x:c r="I8" t="str">
        <x:f>IF(E8&gt;0,"REVIEW / APPROVE","NO ORDER")</x:f>
        <x:v>REVIEW / APPROVE</x:v>
      </x:c>
      <x:c r="J8" s="52" t="n">
        <x:f>'SKU Master'!G8</x:f>
        <x:v>21</x:v>
      </x:c>
    </x:row>
    <x:row r="9">
      <x:c r="A9" t="str">
        <x:f>IF(E9&gt;0,"PO-"&amp;TEXT(ROW()-4,"000"),"")</x:f>
        <x:v>PO-005</x:v>
      </x:c>
      <x:c r="B9" t="str">
        <x:f>'Forecast &amp; Reorder'!T9</x:f>
        <x:v>Evergreen Distribution</x:v>
      </x:c>
      <x:c r="C9" t="str">
        <x:f>'Forecast &amp; Reorder'!A9</x:f>
        <x:v>SKU-005</x:v>
      </x:c>
      <x:c r="D9" t="str">
        <x:f>'Forecast &amp; Reorder'!B9</x:f>
        <x:v>Orange Juice 1L</x:v>
      </x:c>
      <x:c r="E9" s="52" t="n">
        <x:f>'Forecast &amp; Reorder'!M9</x:f>
        <x:v>816</x:v>
      </x:c>
      <x:c r="F9" s="52" t="n">
        <x:f>'SKU Master'!H9</x:f>
        <x:v>24</x:v>
      </x:c>
      <x:c r="G9" s="28" t="n">
        <x:f>'Forecast &amp; Reorder'!N9</x:f>
        <x:v>20.18</x:v>
      </x:c>
      <x:c r="H9" s="28" t="n">
        <x:f>E9*G9</x:f>
        <x:v>16466.88</x:v>
      </x:c>
      <x:c r="I9" t="str">
        <x:f>IF(E9&gt;0,"REVIEW / APPROVE","NO ORDER")</x:f>
        <x:v>REVIEW / APPROVE</x:v>
      </x:c>
      <x:c r="J9" s="52" t="n">
        <x:f>'SKU Master'!G9</x:f>
        <x:v>14</x:v>
      </x:c>
    </x:row>
    <x:row r="10">
      <x:c r="A10" t="str">
        <x:f>IF(E10&gt;0,"PO-"&amp;TEXT(ROW()-4,"000"),"")</x:f>
        <x:v>PO-006</x:v>
      </x:c>
      <x:c r="B10" t="str">
        <x:f>'Forecast &amp; Reorder'!T10</x:f>
        <x:v>Northstar Supply</x:v>
      </x:c>
      <x:c r="C10" t="str">
        <x:f>'Forecast &amp; Reorder'!A10</x:f>
        <x:v>SKU-006</x:v>
      </x:c>
      <x:c r="D10" t="str">
        <x:f>'Forecast &amp; Reorder'!B10</x:f>
        <x:v>Energy Drink 250ml</x:v>
      </x:c>
      <x:c r="E10" s="52" t="n">
        <x:f>'Forecast &amp; Reorder'!M10</x:f>
        <x:v>228</x:v>
      </x:c>
      <x:c r="F10" s="52" t="n">
        <x:f>'SKU Master'!H10</x:f>
        <x:v>12</x:v>
      </x:c>
      <x:c r="G10" s="28" t="n">
        <x:f>'Forecast &amp; Reorder'!N10</x:f>
        <x:v>16.29</x:v>
      </x:c>
      <x:c r="H10" s="28" t="n">
        <x:f>E10*G10</x:f>
        <x:v>3714.12</x:v>
      </x:c>
      <x:c r="I10" t="str">
        <x:f>IF(E10&gt;0,"REVIEW / APPROVE","NO ORDER")</x:f>
        <x:v>REVIEW / APPROVE</x:v>
      </x:c>
      <x:c r="J10" s="52" t="n">
        <x:f>'SKU Master'!G10</x:f>
        <x:v>28</x:v>
      </x:c>
    </x:row>
    <x:row r="11">
      <x:c r="A11" t="str">
        <x:f>IF(E11&gt;0,"PO-"&amp;TEXT(ROW()-4,"000"),"")</x:f>
        <x:v>PO-007</x:v>
      </x:c>
      <x:c r="B11" t="str">
        <x:f>'Forecast &amp; Reorder'!T11</x:f>
        <x:v>Meridian Imports</x:v>
      </x:c>
      <x:c r="C11" t="str">
        <x:f>'Forecast &amp; Reorder'!A11</x:f>
        <x:v>SKU-007</x:v>
      </x:c>
      <x:c r="D11" t="str">
        <x:f>'Forecast &amp; Reorder'!B11</x:f>
        <x:v>Protein Bar 50g</x:v>
      </x:c>
      <x:c r="E11" s="52" t="n">
        <x:f>'Forecast &amp; Reorder'!M11</x:f>
        <x:v>1896</x:v>
      </x:c>
      <x:c r="F11" s="52" t="n">
        <x:f>'SKU Master'!H11</x:f>
        <x:v>12</x:v>
      </x:c>
      <x:c r="G11" s="28" t="n">
        <x:f>'Forecast &amp; Reorder'!N11</x:f>
        <x:v>16.76</x:v>
      </x:c>
      <x:c r="H11" s="28" t="n">
        <x:f>E11*G11</x:f>
        <x:v>31776.960000000003</x:v>
      </x:c>
      <x:c r="I11" t="str">
        <x:f>IF(E11&gt;0,"REVIEW / APPROVE","NO ORDER")</x:f>
        <x:v>REVIEW / APPROVE</x:v>
      </x:c>
      <x:c r="J11" s="52" t="n">
        <x:f>'SKU Master'!G11</x:f>
        <x:v>28</x:v>
      </x:c>
    </x:row>
    <x:row r="12">
      <x:c r="A12" t="str">
        <x:f>IF(E12&gt;0,"PO-"&amp;TEXT(ROW()-4,"000"),"")</x:f>
      </x:c>
      <x:c r="B12" t="str">
        <x:f>'Forecast &amp; Reorder'!T12</x:f>
        <x:v>Blue Ridge Wholesale</x:v>
      </x:c>
      <x:c r="C12" t="str">
        <x:f>'Forecast &amp; Reorder'!A12</x:f>
        <x:v>SKU-008</x:v>
      </x:c>
      <x:c r="D12" t="str">
        <x:f>'Forecast &amp; Reorder'!B12</x:f>
        <x:v>Granola Box 500g</x:v>
      </x:c>
      <x:c r="E12" s="52" t="n">
        <x:f>'Forecast &amp; Reorder'!M12</x:f>
        <x:v>0</x:v>
      </x:c>
      <x:c r="F12" s="52" t="n">
        <x:f>'SKU Master'!H12</x:f>
        <x:v>24</x:v>
      </x:c>
      <x:c r="G12" s="28" t="n">
        <x:f>'Forecast &amp; Reorder'!N12</x:f>
        <x:v>25.74</x:v>
      </x:c>
      <x:c r="H12" s="28" t="n">
        <x:f>E12*G12</x:f>
        <x:v>0</x:v>
      </x:c>
      <x:c r="I12" t="str">
        <x:f>IF(E12&gt;0,"REVIEW / APPROVE","NO ORDER")</x:f>
        <x:v>NO ORDER</x:v>
      </x:c>
      <x:c r="J12" s="52" t="n">
        <x:f>'SKU Master'!G12</x:f>
        <x:v>14</x:v>
      </x:c>
    </x:row>
    <x:row r="13">
      <x:c r="A13" t="str">
        <x:f>IF(E13&gt;0,"PO-"&amp;TEXT(ROW()-4,"000"),"")</x:f>
        <x:v>PO-009</x:v>
      </x:c>
      <x:c r="B13" t="str">
        <x:f>'Forecast &amp; Reorder'!T13</x:f>
        <x:v>Apex Trading</x:v>
      </x:c>
      <x:c r="C13" t="str">
        <x:f>'Forecast &amp; Reorder'!A13</x:f>
        <x:v>SKU-009</x:v>
      </x:c>
      <x:c r="D13" t="str">
        <x:f>'Forecast &amp; Reorder'!B13</x:f>
        <x:v>Mixed Nuts 250g</x:v>
      </x:c>
      <x:c r="E13" s="52" t="n">
        <x:f>'Forecast &amp; Reorder'!M13</x:f>
        <x:v>30</x:v>
      </x:c>
      <x:c r="F13" s="52" t="n">
        <x:f>'SKU Master'!H13</x:f>
        <x:v>6</x:v>
      </x:c>
      <x:c r="G13" s="28" t="n">
        <x:f>'Forecast &amp; Reorder'!N13</x:f>
        <x:v>21.11</x:v>
      </x:c>
      <x:c r="H13" s="28" t="n">
        <x:f>E13*G13</x:f>
        <x:v>633.3</x:v>
      </x:c>
      <x:c r="I13" t="str">
        <x:f>IF(E13&gt;0,"REVIEW / APPROVE","NO ORDER")</x:f>
        <x:v>REVIEW / APPROVE</x:v>
      </x:c>
      <x:c r="J13" s="52" t="n">
        <x:f>'SKU Master'!G13</x:f>
        <x:v>35</x:v>
      </x:c>
    </x:row>
    <x:row r="14">
      <x:c r="A14" t="str">
        <x:f>IF(E14&gt;0,"PO-"&amp;TEXT(ROW()-4,"000"),"")</x:f>
      </x:c>
      <x:c r="B14" t="str">
        <x:f>'Forecast &amp; Reorder'!T14</x:f>
        <x:v>Evergreen Distribution</x:v>
      </x:c>
      <x:c r="C14" t="str">
        <x:f>'Forecast &amp; Reorder'!A14</x:f>
        <x:v>SKU-010</x:v>
      </x:c>
      <x:c r="D14" t="str">
        <x:f>'Forecast &amp; Reorder'!B14</x:f>
        <x:v>Crackers 200g</x:v>
      </x:c>
      <x:c r="E14" s="52" t="n">
        <x:f>'Forecast &amp; Reorder'!M14</x:f>
        <x:v>0</x:v>
      </x:c>
      <x:c r="F14" s="52" t="n">
        <x:f>'SKU Master'!H14</x:f>
        <x:v>12</x:v>
      </x:c>
      <x:c r="G14" s="28" t="n">
        <x:f>'Forecast &amp; Reorder'!N14</x:f>
        <x:v>6.4</x:v>
      </x:c>
      <x:c r="H14" s="28" t="n">
        <x:f>E14*G14</x:f>
        <x:v>0</x:v>
      </x:c>
      <x:c r="I14" t="str">
        <x:f>IF(E14&gt;0,"REVIEW / APPROVE","NO ORDER")</x:f>
        <x:v>NO ORDER</x:v>
      </x:c>
      <x:c r="J14" s="52" t="n">
        <x:f>'SKU Master'!G14</x:f>
        <x:v>28</x:v>
      </x:c>
    </x:row>
    <x:row r="15">
      <x:c r="A15" t="str">
        <x:f>IF(E15&gt;0,"PO-"&amp;TEXT(ROW()-4,"000"),"")</x:f>
        <x:v>PO-011</x:v>
      </x:c>
      <x:c r="B15" t="str">
        <x:f>'Forecast &amp; Reorder'!T15</x:f>
        <x:v>Northstar Supply</x:v>
      </x:c>
      <x:c r="C15" t="str">
        <x:f>'Forecast &amp; Reorder'!A15</x:f>
        <x:v>SKU-011</x:v>
      </x:c>
      <x:c r="D15" t="str">
        <x:f>'Forecast &amp; Reorder'!B15</x:f>
        <x:v>Dark Chocolate 100g</x:v>
      </x:c>
      <x:c r="E15" s="52" t="n">
        <x:f>'Forecast &amp; Reorder'!M15</x:f>
        <x:v>72</x:v>
      </x:c>
      <x:c r="F15" s="52" t="n">
        <x:f>'SKU Master'!H15</x:f>
        <x:v>24</x:v>
      </x:c>
      <x:c r="G15" s="28" t="n">
        <x:f>'Forecast &amp; Reorder'!N15</x:f>
        <x:v>18.92</x:v>
      </x:c>
      <x:c r="H15" s="28" t="n">
        <x:f>E15*G15</x:f>
        <x:v>1362.2400000000002</x:v>
      </x:c>
      <x:c r="I15" t="str">
        <x:f>IF(E15&gt;0,"REVIEW / APPROVE","NO ORDER")</x:f>
        <x:v>REVIEW / APPROVE</x:v>
      </x:c>
      <x:c r="J15" s="52" t="n">
        <x:f>'SKU Master'!G15</x:f>
        <x:v>7</x:v>
      </x:c>
    </x:row>
    <x:row r="16">
      <x:c r="A16" t="str">
        <x:f>IF(E16&gt;0,"PO-"&amp;TEXT(ROW()-4,"000"),"")</x:f>
        <x:v>PO-012</x:v>
      </x:c>
      <x:c r="B16" t="str">
        <x:f>'Forecast &amp; Reorder'!T16</x:f>
        <x:v>Meridian Imports</x:v>
      </x:c>
      <x:c r="C16" t="str">
        <x:f>'Forecast &amp; Reorder'!A16</x:f>
        <x:v>SKU-012</x:v>
      </x:c>
      <x:c r="D16" t="str">
        <x:f>'Forecast &amp; Reorder'!B16</x:f>
        <x:v>Fruit Snack Pack</x:v>
      </x:c>
      <x:c r="E16" s="52" t="n">
        <x:f>'Forecast &amp; Reorder'!M16</x:f>
        <x:v>792</x:v>
      </x:c>
      <x:c r="F16" s="52" t="n">
        <x:f>'SKU Master'!H16</x:f>
        <x:v>12</x:v>
      </x:c>
      <x:c r="G16" s="28" t="n">
        <x:f>'Forecast &amp; Reorder'!N16</x:f>
        <x:v>30.81</x:v>
      </x:c>
      <x:c r="H16" s="28" t="n">
        <x:f>E16*G16</x:f>
        <x:v>24401.52</x:v>
      </x:c>
      <x:c r="I16" t="str">
        <x:f>IF(E16&gt;0,"REVIEW / APPROVE","NO ORDER")</x:f>
        <x:v>REVIEW / APPROVE</x:v>
      </x:c>
      <x:c r="J16" s="52" t="n">
        <x:f>'SKU Master'!G16</x:f>
        <x:v>35</x:v>
      </x:c>
    </x:row>
    <x:row r="17">
      <x:c r="A17" t="str">
        <x:f>IF(E17&gt;0,"PO-"&amp;TEXT(ROW()-4,"000"),"")</x:f>
      </x:c>
      <x:c r="B17" t="str">
        <x:f>'Forecast &amp; Reorder'!T17</x:f>
        <x:v>Blue Ridge Wholesale</x:v>
      </x:c>
      <x:c r="C17" t="str">
        <x:f>'Forecast &amp; Reorder'!A17</x:f>
        <x:v>SKU-013</x:v>
      </x:c>
      <x:c r="D17" t="str">
        <x:f>'Forecast &amp; Reorder'!B17</x:f>
        <x:v>Dish Soap 750ml</x:v>
      </x:c>
      <x:c r="E17" s="52" t="n">
        <x:f>'Forecast &amp; Reorder'!M17</x:f>
        <x:v>0</x:v>
      </x:c>
      <x:c r="F17" s="52" t="n">
        <x:f>'SKU Master'!H17</x:f>
        <x:v>24</x:v>
      </x:c>
      <x:c r="G17" s="28" t="n">
        <x:f>'Forecast &amp; Reorder'!N17</x:f>
        <x:v>9.45</x:v>
      </x:c>
      <x:c r="H17" s="28" t="n">
        <x:f>E17*G17</x:f>
        <x:v>0</x:v>
      </x:c>
      <x:c r="I17" t="str">
        <x:f>IF(E17&gt;0,"REVIEW / APPROVE","NO ORDER")</x:f>
        <x:v>NO ORDER</x:v>
      </x:c>
      <x:c r="J17" s="52" t="n">
        <x:f>'SKU Master'!G17</x:f>
        <x:v>21</x:v>
      </x:c>
    </x:row>
    <x:row r="18">
      <x:c r="A18" t="str">
        <x:f>IF(E18&gt;0,"PO-"&amp;TEXT(ROW()-4,"000"),"")</x:f>
        <x:v>PO-014</x:v>
      </x:c>
      <x:c r="B18" t="str">
        <x:f>'Forecast &amp; Reorder'!T18</x:f>
        <x:v>Apex Trading</x:v>
      </x:c>
      <x:c r="C18" t="str">
        <x:f>'Forecast &amp; Reorder'!A18</x:f>
        <x:v>SKU-014</x:v>
      </x:c>
      <x:c r="D18" t="str">
        <x:f>'Forecast &amp; Reorder'!B18</x:f>
        <x:v>All-Purpose Cleaner</x:v>
      </x:c>
      <x:c r="E18" s="52" t="n">
        <x:f>'Forecast &amp; Reorder'!M18</x:f>
        <x:v>120</x:v>
      </x:c>
      <x:c r="F18" s="52" t="n">
        <x:f>'SKU Master'!H18</x:f>
        <x:v>24</x:v>
      </x:c>
      <x:c r="G18" s="28" t="n">
        <x:f>'Forecast &amp; Reorder'!N18</x:f>
        <x:v>13.84</x:v>
      </x:c>
      <x:c r="H18" s="28" t="n">
        <x:f>E18*G18</x:f>
        <x:v>1660.8</x:v>
      </x:c>
      <x:c r="I18" t="str">
        <x:f>IF(E18&gt;0,"REVIEW / APPROVE","NO ORDER")</x:f>
        <x:v>REVIEW / APPROVE</x:v>
      </x:c>
      <x:c r="J18" s="52" t="n">
        <x:f>'SKU Master'!G18</x:f>
        <x:v>10</x:v>
      </x:c>
    </x:row>
    <x:row r="19">
      <x:c r="A19" t="str">
        <x:f>IF(E19&gt;0,"PO-"&amp;TEXT(ROW()-4,"000"),"")</x:f>
        <x:v>PO-015</x:v>
      </x:c>
      <x:c r="B19" t="str">
        <x:f>'Forecast &amp; Reorder'!T19</x:f>
        <x:v>Evergreen Distribution</x:v>
      </x:c>
      <x:c r="C19" t="str">
        <x:f>'Forecast &amp; Reorder'!A19</x:f>
        <x:v>SKU-015</x:v>
      </x:c>
      <x:c r="D19" t="str">
        <x:f>'Forecast &amp; Reorder'!B19</x:f>
        <x:v>Laundry Detergent 2L</x:v>
      </x:c>
      <x:c r="E19" s="52" t="n">
        <x:f>'Forecast &amp; Reorder'!M19</x:f>
        <x:v>1650</x:v>
      </x:c>
      <x:c r="F19" s="52" t="n">
        <x:f>'SKU Master'!H19</x:f>
        <x:v>6</x:v>
      </x:c>
      <x:c r="G19" s="28" t="n">
        <x:f>'Forecast &amp; Reorder'!N19</x:f>
        <x:v>32.45</x:v>
      </x:c>
      <x:c r="H19" s="28" t="n">
        <x:f>E19*G19</x:f>
        <x:v>53542.50000000001</x:v>
      </x:c>
      <x:c r="I19" t="str">
        <x:f>IF(E19&gt;0,"REVIEW / APPROVE","NO ORDER")</x:f>
        <x:v>REVIEW / APPROVE</x:v>
      </x:c>
      <x:c r="J19" s="52" t="n">
        <x:f>'SKU Master'!G19</x:f>
        <x:v>28</x:v>
      </x:c>
    </x:row>
    <x:row r="20">
      <x:c r="A20" t="str">
        <x:f>IF(E20&gt;0,"PO-"&amp;TEXT(ROW()-4,"000"),"")</x:f>
        <x:v>PO-016</x:v>
      </x:c>
      <x:c r="B20" t="str">
        <x:f>'Forecast &amp; Reorder'!T20</x:f>
        <x:v>Northstar Supply</x:v>
      </x:c>
      <x:c r="C20" t="str">
        <x:f>'Forecast &amp; Reorder'!A20</x:f>
        <x:v>SKU-016</x:v>
      </x:c>
      <x:c r="D20" t="str">
        <x:f>'Forecast &amp; Reorder'!B20</x:f>
        <x:v>Hand Sanitizer 500ml</x:v>
      </x:c>
      <x:c r="E20" s="52" t="n">
        <x:f>'Forecast &amp; Reorder'!M20</x:f>
        <x:v>384</x:v>
      </x:c>
      <x:c r="F20" s="52" t="n">
        <x:f>'SKU Master'!H20</x:f>
        <x:v>12</x:v>
      </x:c>
      <x:c r="G20" s="28" t="n">
        <x:f>'Forecast &amp; Reorder'!N20</x:f>
        <x:v>18.13</x:v>
      </x:c>
      <x:c r="H20" s="28" t="n">
        <x:f>E20*G20</x:f>
        <x:v>6961.92</x:v>
      </x:c>
      <x:c r="I20" t="str">
        <x:f>IF(E20&gt;0,"REVIEW / APPROVE","NO ORDER")</x:f>
        <x:v>REVIEW / APPROVE</x:v>
      </x:c>
      <x:c r="J20" s="52" t="n">
        <x:f>'SKU Master'!G20</x:f>
        <x:v>21</x:v>
      </x:c>
    </x:row>
    <x:row r="21">
      <x:c r="A21" t="str">
        <x:f>IF(E21&gt;0,"PO-"&amp;TEXT(ROW()-4,"000"),"")</x:f>
        <x:v>PO-017</x:v>
      </x:c>
      <x:c r="B21" t="str">
        <x:f>'Forecast &amp; Reorder'!T21</x:f>
        <x:v>Meridian Imports</x:v>
      </x:c>
      <x:c r="C21" t="str">
        <x:f>'Forecast &amp; Reorder'!A21</x:f>
        <x:v>SKU-017</x:v>
      </x:c>
      <x:c r="D21" t="str">
        <x:f>'Forecast &amp; Reorder'!B21</x:f>
        <x:v>Paper Towels 6pk</x:v>
      </x:c>
      <x:c r="E21" s="52" t="n">
        <x:f>'Forecast &amp; Reorder'!M21</x:f>
        <x:v>120</x:v>
      </x:c>
      <x:c r="F21" s="52" t="n">
        <x:f>'SKU Master'!H21</x:f>
        <x:v>24</x:v>
      </x:c>
      <x:c r="G21" s="28" t="n">
        <x:f>'Forecast &amp; Reorder'!N21</x:f>
        <x:v>33.19</x:v>
      </x:c>
      <x:c r="H21" s="28" t="n">
        <x:f>E21*G21</x:f>
        <x:v>3982.7999999999997</x:v>
      </x:c>
      <x:c r="I21" t="str">
        <x:f>IF(E21&gt;0,"REVIEW / APPROVE","NO ORDER")</x:f>
        <x:v>REVIEW / APPROVE</x:v>
      </x:c>
      <x:c r="J21" s="52" t="n">
        <x:f>'SKU Master'!G21</x:f>
        <x:v>10</x:v>
      </x:c>
    </x:row>
    <x:row r="22">
      <x:c r="A22" t="str">
        <x:f>IF(E22&gt;0,"PO-"&amp;TEXT(ROW()-4,"000"),"")</x:f>
      </x:c>
      <x:c r="B22" t="str">
        <x:f>'Forecast &amp; Reorder'!T22</x:f>
        <x:v>Blue Ridge Wholesale</x:v>
      </x:c>
      <x:c r="C22" t="str">
        <x:f>'Forecast &amp; Reorder'!A22</x:f>
        <x:v>SKU-018</x:v>
      </x:c>
      <x:c r="D22" t="str">
        <x:f>'Forecast &amp; Reorder'!B22</x:f>
        <x:v>Surface Wipes 80ct</x:v>
      </x:c>
      <x:c r="E22" s="52" t="n">
        <x:f>'Forecast &amp; Reorder'!M22</x:f>
        <x:v>0</x:v>
      </x:c>
      <x:c r="F22" s="52" t="n">
        <x:f>'SKU Master'!H22</x:f>
        <x:v>12</x:v>
      </x:c>
      <x:c r="G22" s="28" t="n">
        <x:f>'Forecast &amp; Reorder'!N22</x:f>
        <x:v>6.03</x:v>
      </x:c>
      <x:c r="H22" s="28" t="n">
        <x:f>E22*G22</x:f>
        <x:v>0</x:v>
      </x:c>
      <x:c r="I22" t="str">
        <x:f>IF(E22&gt;0,"REVIEW / APPROVE","NO ORDER")</x:f>
        <x:v>NO ORDER</x:v>
      </x:c>
      <x:c r="J22" s="52" t="n">
        <x:f>'SKU Master'!G22</x:f>
        <x:v>21</x:v>
      </x:c>
    </x:row>
    <x:row r="23">
      <x:c r="A23" t="str">
        <x:f>IF(E23&gt;0,"PO-"&amp;TEXT(ROW()-4,"000"),"")</x:f>
        <x:v>PO-019</x:v>
      </x:c>
      <x:c r="B23" t="str">
        <x:f>'Forecast &amp; Reorder'!T23</x:f>
        <x:v>Apex Trading</x:v>
      </x:c>
      <x:c r="C23" t="str">
        <x:f>'Forecast &amp; Reorder'!A23</x:f>
        <x:v>SKU-019</x:v>
      </x:c>
      <x:c r="D23" t="str">
        <x:f>'Forecast &amp; Reorder'!B23</x:f>
        <x:v>Printer Paper A4</x:v>
      </x:c>
      <x:c r="E23" s="52" t="n">
        <x:f>'Forecast &amp; Reorder'!M23</x:f>
        <x:v>42</x:v>
      </x:c>
      <x:c r="F23" s="52" t="n">
        <x:f>'SKU Master'!H23</x:f>
        <x:v>6</x:v>
      </x:c>
      <x:c r="G23" s="28" t="n">
        <x:f>'Forecast &amp; Reorder'!N23</x:f>
        <x:v>10.58</x:v>
      </x:c>
      <x:c r="H23" s="28" t="n">
        <x:f>E23*G23</x:f>
        <x:v>444.36</x:v>
      </x:c>
      <x:c r="I23" t="str">
        <x:f>IF(E23&gt;0,"REVIEW / APPROVE","NO ORDER")</x:f>
        <x:v>REVIEW / APPROVE</x:v>
      </x:c>
      <x:c r="J23" s="52" t="n">
        <x:f>'SKU Master'!G23</x:f>
        <x:v>28</x:v>
      </x:c>
    </x:row>
    <x:row r="24">
      <x:c r="A24" t="str">
        <x:f>IF(E24&gt;0,"PO-"&amp;TEXT(ROW()-4,"000"),"")</x:f>
        <x:v>PO-020</x:v>
      </x:c>
      <x:c r="B24" t="str">
        <x:f>'Forecast &amp; Reorder'!T24</x:f>
        <x:v>Evergreen Distribution</x:v>
      </x:c>
      <x:c r="C24" t="str">
        <x:f>'Forecast &amp; Reorder'!A24</x:f>
        <x:v>SKU-020</x:v>
      </x:c>
      <x:c r="D24" t="str">
        <x:f>'Forecast &amp; Reorder'!B24</x:f>
        <x:v>Blue Ballpoint Pens</x:v>
      </x:c>
      <x:c r="E24" s="52" t="n">
        <x:f>'Forecast &amp; Reorder'!M24</x:f>
        <x:v>240</x:v>
      </x:c>
      <x:c r="F24" s="52" t="n">
        <x:f>'SKU Master'!H24</x:f>
        <x:v>24</x:v>
      </x:c>
      <x:c r="G24" s="28" t="n">
        <x:f>'Forecast &amp; Reorder'!N24</x:f>
        <x:v>16.82</x:v>
      </x:c>
      <x:c r="H24" s="28" t="n">
        <x:f>E24*G24</x:f>
        <x:v>4036.8</x:v>
      </x:c>
      <x:c r="I24" t="str">
        <x:f>IF(E24&gt;0,"REVIEW / APPROVE","NO ORDER")</x:f>
        <x:v>REVIEW / APPROVE</x:v>
      </x:c>
      <x:c r="J24" s="52" t="n">
        <x:f>'SKU Master'!G24</x:f>
        <x:v>28</x:v>
      </x:c>
    </x:row>
    <x:row r="25">
      <x:c r="A25" t="str">
        <x:f>IF(E25&gt;0,"PO-"&amp;TEXT(ROW()-4,"000"),"")</x:f>
        <x:v>PO-021</x:v>
      </x:c>
      <x:c r="B25" t="str">
        <x:f>'Forecast &amp; Reorder'!T25</x:f>
        <x:v>Northstar Supply</x:v>
      </x:c>
      <x:c r="C25" t="str">
        <x:f>'Forecast &amp; Reorder'!A25</x:f>
        <x:v>SKU-021</x:v>
      </x:c>
      <x:c r="D25" t="str">
        <x:f>'Forecast &amp; Reorder'!B25</x:f>
        <x:v>Notebooks A5</x:v>
      </x:c>
      <x:c r="E25" s="52" t="n">
        <x:f>'Forecast &amp; Reorder'!M25</x:f>
        <x:v>504</x:v>
      </x:c>
      <x:c r="F25" s="52" t="n">
        <x:f>'SKU Master'!H25</x:f>
        <x:v>24</x:v>
      </x:c>
      <x:c r="G25" s="28" t="n">
        <x:f>'Forecast &amp; Reorder'!N25</x:f>
        <x:v>28.6</x:v>
      </x:c>
      <x:c r="H25" s="28" t="n">
        <x:f>E25*G25</x:f>
        <x:v>14414.400000000001</x:v>
      </x:c>
      <x:c r="I25" t="str">
        <x:f>IF(E25&gt;0,"REVIEW / APPROVE","NO ORDER")</x:f>
        <x:v>REVIEW / APPROVE</x:v>
      </x:c>
      <x:c r="J25" s="52" t="n">
        <x:f>'SKU Master'!G25</x:f>
        <x:v>14</x:v>
      </x:c>
    </x:row>
    <x:row r="26">
      <x:c r="A26" t="str">
        <x:f>IF(E26&gt;0,"PO-"&amp;TEXT(ROW()-4,"000"),"")</x:f>
        <x:v>PO-022</x:v>
      </x:c>
      <x:c r="B26" t="str">
        <x:f>'Forecast &amp; Reorder'!T26</x:f>
        <x:v>Meridian Imports</x:v>
      </x:c>
      <x:c r="C26" t="str">
        <x:f>'Forecast &amp; Reorder'!A26</x:f>
        <x:v>SKU-022</x:v>
      </x:c>
      <x:c r="D26" t="str">
        <x:f>'Forecast &amp; Reorder'!B26</x:f>
        <x:v>Sticky Notes 100pk</x:v>
      </x:c>
      <x:c r="E26" s="52" t="n">
        <x:f>'Forecast &amp; Reorder'!M26</x:f>
        <x:v>1404</x:v>
      </x:c>
      <x:c r="F26" s="52" t="n">
        <x:f>'SKU Master'!H26</x:f>
        <x:v>12</x:v>
      </x:c>
      <x:c r="G26" s="28" t="n">
        <x:f>'Forecast &amp; Reorder'!N26</x:f>
        <x:v>28.87</x:v>
      </x:c>
      <x:c r="H26" s="28" t="n">
        <x:f>E26*G26</x:f>
        <x:v>40533.48</x:v>
      </x:c>
      <x:c r="I26" t="str">
        <x:f>IF(E26&gt;0,"REVIEW / APPROVE","NO ORDER")</x:f>
        <x:v>REVIEW / APPROVE</x:v>
      </x:c>
      <x:c r="J26" s="52" t="n">
        <x:f>'SKU Master'!G26</x:f>
        <x:v>21</x:v>
      </x:c>
    </x:row>
    <x:row r="27">
      <x:c r="A27" t="str">
        <x:f>IF(E27&gt;0,"PO-"&amp;TEXT(ROW()-4,"000"),"")</x:f>
        <x:v>PO-023</x:v>
      </x:c>
      <x:c r="B27" t="str">
        <x:f>'Forecast &amp; Reorder'!T27</x:f>
        <x:v>Blue Ridge Wholesale</x:v>
      </x:c>
      <x:c r="C27" t="str">
        <x:f>'Forecast &amp; Reorder'!A27</x:f>
        <x:v>SKU-023</x:v>
      </x:c>
      <x:c r="D27" t="str">
        <x:f>'Forecast &amp; Reorder'!B27</x:f>
        <x:v>Packing Tape 50m</x:v>
      </x:c>
      <x:c r="E27" s="52" t="n">
        <x:f>'Forecast &amp; Reorder'!M27</x:f>
        <x:v>24</x:v>
      </x:c>
      <x:c r="F27" s="52" t="n">
        <x:f>'SKU Master'!H27</x:f>
        <x:v>24</x:v>
      </x:c>
      <x:c r="G27" s="28" t="n">
        <x:f>'Forecast &amp; Reorder'!N27</x:f>
        <x:v>32.33</x:v>
      </x:c>
      <x:c r="H27" s="28" t="n">
        <x:f>E27*G27</x:f>
        <x:v>775.92</x:v>
      </x:c>
      <x:c r="I27" t="str">
        <x:f>IF(E27&gt;0,"REVIEW / APPROVE","NO ORDER")</x:f>
        <x:v>REVIEW / APPROVE</x:v>
      </x:c>
      <x:c r="J27" s="52" t="n">
        <x:f>'SKU Master'!G27</x:f>
        <x:v>14</x:v>
      </x:c>
    </x:row>
    <x:row r="28">
      <x:c r="A28" t="str">
        <x:f>IF(E28&gt;0,"PO-"&amp;TEXT(ROW()-4,"000"),"")</x:f>
        <x:v>PO-024</x:v>
      </x:c>
      <x:c r="B28" t="str">
        <x:f>'Forecast &amp; Reorder'!T28</x:f>
        <x:v>Apex Trading</x:v>
      </x:c>
      <x:c r="C28" t="str">
        <x:f>'Forecast &amp; Reorder'!A28</x:f>
        <x:v>SKU-024</x:v>
      </x:c>
      <x:c r="D28" t="str">
        <x:f>'Forecast &amp; Reorder'!B28</x:f>
        <x:v>Shipping Labels 100pk</x:v>
      </x:c>
      <x:c r="E28" s="52" t="n">
        <x:f>'Forecast &amp; Reorder'!M28</x:f>
        <x:v>120</x:v>
      </x:c>
      <x:c r="F28" s="52" t="n">
        <x:f>'SKU Master'!H28</x:f>
        <x:v>24</x:v>
      </x:c>
      <x:c r="G28" s="28" t="n">
        <x:f>'Forecast &amp; Reorder'!N28</x:f>
        <x:v>22.2</x:v>
      </x:c>
      <x:c r="H28" s="28" t="n">
        <x:f>E28*G28</x:f>
        <x:v>2664</x:v>
      </x:c>
      <x:c r="I28" t="str">
        <x:f>IF(E28&gt;0,"REVIEW / APPROVE","NO ORDER")</x:f>
        <x:v>REVIEW / APPROVE</x:v>
      </x:c>
      <x:c r="J28" s="52" t="n">
        <x:f>'SKU Master'!G28</x:f>
        <x:v>21</x:v>
      </x:c>
    </x:row>
    <x:row r="29">
      <x:c r="A29" t="str">
        <x:f>IF(E29&gt;0,"PO-"&amp;TEXT(ROW()-4,"000"),"")</x:f>
        <x:v>PO-025</x:v>
      </x:c>
      <x:c r="B29" t="str">
        <x:f>'Forecast &amp; Reorder'!T29</x:f>
        <x:v>Evergreen Distribution</x:v>
      </x:c>
      <x:c r="C29" t="str">
        <x:f>'Forecast &amp; Reorder'!A29</x:f>
        <x:v>SKU-025</x:v>
      </x:c>
      <x:c r="D29" t="str">
        <x:f>'Forecast &amp; Reorder'!B29</x:f>
        <x:v>Hand Cream 100ml</x:v>
      </x:c>
      <x:c r="E29" s="52" t="n">
        <x:f>'Forecast &amp; Reorder'!M29</x:f>
        <x:v>960</x:v>
      </x:c>
      <x:c r="F29" s="52" t="n">
        <x:f>'SKU Master'!H29</x:f>
        <x:v>24</x:v>
      </x:c>
      <x:c r="G29" s="28" t="n">
        <x:f>'Forecast &amp; Reorder'!N29</x:f>
        <x:v>23.17</x:v>
      </x:c>
      <x:c r="H29" s="28" t="n">
        <x:f>E29*G29</x:f>
        <x:v>22243.2</x:v>
      </x:c>
      <x:c r="I29" t="str">
        <x:f>IF(E29&gt;0,"REVIEW / APPROVE","NO ORDER")</x:f>
        <x:v>REVIEW / APPROVE</x:v>
      </x:c>
      <x:c r="J29" s="52" t="n">
        <x:f>'SKU Master'!G29</x:f>
        <x:v>7</x:v>
      </x:c>
    </x:row>
    <x:row r="30">
      <x:c r="A30" t="str">
        <x:f>IF(E30&gt;0,"PO-"&amp;TEXT(ROW()-4,"000"),"")</x:f>
      </x:c>
      <x:c r="B30" t="str">
        <x:f>'Forecast &amp; Reorder'!T30</x:f>
        <x:v>Northstar Supply</x:v>
      </x:c>
      <x:c r="C30" t="str">
        <x:f>'Forecast &amp; Reorder'!A30</x:f>
        <x:v>SKU-026</x:v>
      </x:c>
      <x:c r="D30" t="str">
        <x:f>'Forecast &amp; Reorder'!B30</x:f>
        <x:v>Shampoo 400ml</x:v>
      </x:c>
      <x:c r="E30" s="52" t="n">
        <x:f>'Forecast &amp; Reorder'!M30</x:f>
        <x:v>0</x:v>
      </x:c>
      <x:c r="F30" s="52" t="n">
        <x:f>'SKU Master'!H30</x:f>
        <x:v>6</x:v>
      </x:c>
      <x:c r="G30" s="28" t="n">
        <x:f>'Forecast &amp; Reorder'!N30</x:f>
        <x:v>10.25</x:v>
      </x:c>
      <x:c r="H30" s="28" t="n">
        <x:f>E30*G30</x:f>
        <x:v>0</x:v>
      </x:c>
      <x:c r="I30" t="str">
        <x:f>IF(E30&gt;0,"REVIEW / APPROVE","NO ORDER")</x:f>
        <x:v>NO ORDER</x:v>
      </x:c>
      <x:c r="J30" s="52" t="n">
        <x:f>'SKU Master'!G30</x:f>
        <x:v>35</x:v>
      </x:c>
    </x:row>
    <x:row r="31">
      <x:c r="A31" t="str">
        <x:f>IF(E31&gt;0,"PO-"&amp;TEXT(ROW()-4,"000"),"")</x:f>
        <x:v>PO-027</x:v>
      </x:c>
      <x:c r="B31" t="str">
        <x:f>'Forecast &amp; Reorder'!T31</x:f>
        <x:v>Meridian Imports</x:v>
      </x:c>
      <x:c r="C31" t="str">
        <x:f>'Forecast &amp; Reorder'!A31</x:f>
        <x:v>SKU-027</x:v>
      </x:c>
      <x:c r="D31" t="str">
        <x:f>'Forecast &amp; Reorder'!B31</x:f>
        <x:v>Toothpaste 100ml</x:v>
      </x:c>
      <x:c r="E31" s="52" t="n">
        <x:f>'Forecast &amp; Reorder'!M31</x:f>
        <x:v>306</x:v>
      </x:c>
      <x:c r="F31" s="52" t="n">
        <x:f>'SKU Master'!H31</x:f>
        <x:v>6</x:v>
      </x:c>
      <x:c r="G31" s="28" t="n">
        <x:f>'Forecast &amp; Reorder'!N31</x:f>
        <x:v>8.08</x:v>
      </x:c>
      <x:c r="H31" s="28" t="n">
        <x:f>E31*G31</x:f>
        <x:v>2472.48</x:v>
      </x:c>
      <x:c r="I31" t="str">
        <x:f>IF(E31&gt;0,"REVIEW / APPROVE","NO ORDER")</x:f>
        <x:v>REVIEW / APPROVE</x:v>
      </x:c>
      <x:c r="J31" s="52" t="n">
        <x:f>'SKU Master'!G31</x:f>
        <x:v>10</x:v>
      </x:c>
    </x:row>
    <x:row r="32">
      <x:c r="A32" t="str">
        <x:f>IF(E32&gt;0,"PO-"&amp;TEXT(ROW()-4,"000"),"")</x:f>
        <x:v>PO-028</x:v>
      </x:c>
      <x:c r="B32" t="str">
        <x:f>'Forecast &amp; Reorder'!T32</x:f>
        <x:v>Blue Ridge Wholesale</x:v>
      </x:c>
      <x:c r="C32" t="str">
        <x:f>'Forecast &amp; Reorder'!A32</x:f>
        <x:v>SKU-028</x:v>
      </x:c>
      <x:c r="D32" t="str">
        <x:f>'Forecast &amp; Reorder'!B32</x:f>
        <x:v>Hand Wash 500ml</x:v>
      </x:c>
      <x:c r="E32" s="52" t="n">
        <x:f>'Forecast &amp; Reorder'!M32</x:f>
        <x:v>72</x:v>
      </x:c>
      <x:c r="F32" s="52" t="n">
        <x:f>'SKU Master'!H32</x:f>
        <x:v>24</x:v>
      </x:c>
      <x:c r="G32" s="28" t="n">
        <x:f>'Forecast &amp; Reorder'!N32</x:f>
        <x:v>6.77</x:v>
      </x:c>
      <x:c r="H32" s="28" t="n">
        <x:f>E32*G32</x:f>
        <x:v>487.43999999999994</x:v>
      </x:c>
      <x:c r="I32" t="str">
        <x:f>IF(E32&gt;0,"REVIEW / APPROVE","NO ORDER")</x:f>
        <x:v>REVIEW / APPROVE</x:v>
      </x:c>
      <x:c r="J32" s="52" t="n">
        <x:f>'SKU Master'!G32</x:f>
        <x:v>14</x:v>
      </x:c>
    </x:row>
    <x:row r="33">
      <x:c r="A33" t="str">
        <x:f>IF(E33&gt;0,"PO-"&amp;TEXT(ROW()-4,"000"),"")</x:f>
      </x:c>
      <x:c r="B33" t="str">
        <x:f>'Forecast &amp; Reorder'!T33</x:f>
        <x:v>Apex Trading</x:v>
      </x:c>
      <x:c r="C33" t="str">
        <x:f>'Forecast &amp; Reorder'!A33</x:f>
        <x:v>SKU-029</x:v>
      </x:c>
      <x:c r="D33" t="str">
        <x:f>'Forecast &amp; Reorder'!B33</x:f>
        <x:v>Sunscreen SPF50</x:v>
      </x:c>
      <x:c r="E33" s="52" t="n">
        <x:f>'Forecast &amp; Reorder'!M33</x:f>
        <x:v>0</x:v>
      </x:c>
      <x:c r="F33" s="52" t="n">
        <x:f>'SKU Master'!H33</x:f>
        <x:v>24</x:v>
      </x:c>
      <x:c r="G33" s="28" t="n">
        <x:f>'Forecast &amp; Reorder'!N33</x:f>
        <x:v>15.13</x:v>
      </x:c>
      <x:c r="H33" s="28" t="n">
        <x:f>E33*G33</x:f>
        <x:v>0</x:v>
      </x:c>
      <x:c r="I33" t="str">
        <x:f>IF(E33&gt;0,"REVIEW / APPROVE","NO ORDER")</x:f>
        <x:v>NO ORDER</x:v>
      </x:c>
      <x:c r="J33" s="52" t="n">
        <x:f>'SKU Master'!G33</x:f>
        <x:v>7</x:v>
      </x:c>
    </x:row>
    <x:row r="34">
      <x:c r="A34" t="str">
        <x:f>IF(E34&gt;0,"PO-"&amp;TEXT(ROW()-4,"000"),"")</x:f>
      </x:c>
      <x:c r="B34" t="str">
        <x:f>'Forecast &amp; Reorder'!T34</x:f>
        <x:v>Evergreen Distribution</x:v>
      </x:c>
      <x:c r="C34" t="str">
        <x:f>'Forecast &amp; Reorder'!A34</x:f>
        <x:v>SKU-030</x:v>
      </x:c>
      <x:c r="D34" t="str">
        <x:f>'Forecast &amp; Reorder'!B34</x:f>
        <x:v>Lip Balm 15ml</x:v>
      </x:c>
      <x:c r="E34" s="52" t="n">
        <x:f>'Forecast &amp; Reorder'!M34</x:f>
        <x:v>0</x:v>
      </x:c>
      <x:c r="F34" s="52" t="n">
        <x:f>'SKU Master'!H34</x:f>
        <x:v>12</x:v>
      </x:c>
      <x:c r="G34" s="28" t="n">
        <x:f>'Forecast &amp; Reorder'!N34</x:f>
        <x:v>6.3</x:v>
      </x:c>
      <x:c r="H34" s="28" t="n">
        <x:f>E34*G34</x:f>
        <x:v>0</x:v>
      </x:c>
      <x:c r="I34" t="str">
        <x:f>IF(E34&gt;0,"REVIEW / APPROVE","NO ORDER")</x:f>
        <x:v>NO ORDER</x:v>
      </x:c>
      <x:c r="J34" s="52" t="n">
        <x:f>'SKU Master'!G34</x:f>
        <x:v>7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ba73c7624dc443c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53" hidden="0" customWidth="1"/>
    <x:col min="5" max="5" width="18" hidden="0" customWidth="1"/>
    <x:col min="6" max="6" width="18" hidden="0" customWidth="1"/>
  </x:cols>
  <x:sheetData>
    <x:row r="1" ht="25" customHeight="1">
      <x:c r="A1" s="3" t="str">
        <x:v>DATA QUALITY &amp; MODEL ASSURANCE  |  Exception register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4" ht="35" customHeight="1">
      <x:c r="A4" s="9" t="str">
        <x:v>Check</x:v>
      </x:c>
      <x:c r="B4" s="9" t="str">
        <x:v>Result</x:v>
      </x:c>
      <x:c r="C4" s="9" t="str">
        <x:v>Threshold</x:v>
      </x:c>
      <x:c r="D4" s="9" t="str">
        <x:v>Interpretation</x:v>
      </x:c>
    </x:row>
    <x:row r="5">
      <x:c r="A5" t="str">
        <x:v>Missing SKU IDs</x:v>
      </x:c>
      <x:c r="B5" t="n">
        <x:f>COUNTBLANK('SKU Master'!A5:A34)</x:f>
        <x:v>0</x:v>
      </x:c>
      <x:c r="C5" t="n">
        <x:v>0</x:v>
      </x:c>
      <x:c r="D5" t="str">
        <x:v>Master record completeness</x:v>
      </x:c>
    </x:row>
    <x:row r="6">
      <x:c r="A6" t="str">
        <x:v>Duplicate SKU IDs</x:v>
      </x:c>
      <x:c r="B6" t="n">
        <x:f>SUM(IF(COUNTIF('SKU Master'!$A$5:A5,'SKU Master'!A6)&gt;0,1,0),IF(COUNTIF('SKU Master'!$A$5:A6,'SKU Master'!A7)&gt;0,1,0),IF(COUNTIF('SKU Master'!$A$5:A7,'SKU Master'!A8)&gt;0,1,0),IF(COUNTIF('SKU Master'!$A$5:A8,'SKU Master'!A9)&gt;0,1,0),IF(COUNTIF('SKU Master'!$A$5:A9,'SKU Master'!A10)&gt;0,1,0),IF(COUNTIF('SKU Master'!$A$5:A10,'SKU Master'!A11)&gt;0,1,0),IF(COUNTIF('SKU Master'!$A$5:A11,'SKU Master'!A12)&gt;0,1,0),IF(COUNTIF('SKU Master'!$A$5:A12,'SKU Master'!A13)&gt;0,1,0),IF(COUNTIF('SKU Master'!$A$5:A13,'SKU Master'!A14)&gt;0,1,0),IF(COUNTIF('SKU Master'!$A$5:A14,'SKU Master'!A15)&gt;0,1,0),IF(COUNTIF('SKU Master'!$A$5:A15,'SKU Master'!A16)&gt;0,1,0),IF(COUNTIF('SKU Master'!$A$5:A16,'SKU Master'!A17)&gt;0,1,0),IF(COUNTIF('SKU Master'!$A$5:A17,'SKU Master'!A18)&gt;0,1,0),IF(COUNTIF('SKU Master'!$A$5:A18,'SKU Master'!A19)&gt;0,1,0),IF(COUNTIF('SKU Master'!$A$5:A19,'SKU Master'!A20)&gt;0,1,0),IF(COUNTIF('SKU Master'!$A$5:A20,'SKU Master'!A21)&gt;0,1,0),IF(COUNTIF('SKU Master'!$A$5:A21,'SKU Master'!A22)&gt;0,1,0),IF(COUNTIF('SKU Master'!$A$5:A22,'SKU Master'!A23)&gt;0,1,0),IF(COUNTIF('SKU Master'!$A$5:A23,'SKU Master'!A24)&gt;0,1,0),IF(COUNTIF('SKU Master'!$A$5:A24,'SKU Master'!A25)&gt;0,1,0),IF(COUNTIF('SKU Master'!$A$5:A25,'SKU Master'!A26)&gt;0,1,0),IF(COUNTIF('SKU Master'!$A$5:A26,'SKU Master'!A27)&gt;0,1,0),IF(COUNTIF('SKU Master'!$A$5:A27,'SKU Master'!A28)&gt;0,1,0),IF(COUNTIF('SKU Master'!$A$5:A28,'SKU Master'!A29)&gt;0,1,0),IF(COUNTIF('SKU Master'!$A$5:A29,'SKU Master'!A30)&gt;0,1,0),IF(COUNTIF('SKU Master'!$A$5:A30,'SKU Master'!A31)&gt;0,1,0),IF(COUNTIF('SKU Master'!$A$5:A31,'SKU Master'!A32)&gt;0,1,0),IF(COUNTIF('SKU Master'!$A$5:A32,'SKU Master'!A33)&gt;0,1,0),IF(COUNTIF('SKU Master'!$A$5:A33,'SKU Master'!A34)&gt;0,1,0))</x:f>
        <x:v>0</x:v>
      </x:c>
      <x:c r="C6" t="n">
        <x:v>0</x:v>
      </x:c>
      <x:c r="D6" t="str">
        <x:v>Duplicate primary keys (zero expected)</x:v>
      </x:c>
    </x:row>
    <x:row r="7">
      <x:c r="A7" t="str">
        <x:v>Negative historical sales</x:v>
      </x:c>
      <x:c r="B7" t="n">
        <x:f>COUNTIF('Sales History'!B5:M34,"&lt;0")</x:f>
        <x:v>0</x:v>
      </x:c>
      <x:c r="C7" t="n">
        <x:v>0</x:v>
      </x:c>
      <x:c r="D7" t="str">
        <x:v>Source should contain nonnegative units</x:v>
      </x:c>
    </x:row>
    <x:row r="8">
      <x:c r="A8" t="str">
        <x:v>Negative stock / commitments</x:v>
      </x:c>
      <x:c r="B8" t="n">
        <x:f>COUNTIF(Inventory!B5:F34,"&lt;0")</x:f>
        <x:v>0</x:v>
      </x:c>
      <x:c r="C8" t="n">
        <x:v>0</x:v>
      </x:c>
      <x:c r="D8" t="str">
        <x:v>Negative inventory input values</x:v>
      </x:c>
    </x:row>
    <x:row r="9">
      <x:c r="A9" t="str">
        <x:v>Invalid pack multiples</x:v>
      </x:c>
      <x:c r="B9" t="n">
        <x:f>COUNTIF('SKU Master'!H5:H34,"&lt;=0")</x:f>
        <x:v>0</x:v>
      </x:c>
      <x:c r="C9" t="n">
        <x:v>0</x:v>
      </x:c>
      <x:c r="D9" t="str">
        <x:v>Must be strictly positive</x:v>
      </x:c>
    </x:row>
    <x:row r="10">
      <x:c r="A10" t="str">
        <x:v>Invalid lead times</x:v>
      </x:c>
      <x:c r="B10" t="n">
        <x:f>COUNTIF('SKU Master'!G5:G34,"&lt;=0")</x:f>
        <x:v>0</x:v>
      </x:c>
      <x:c r="C10" t="n">
        <x:v>0</x:v>
      </x:c>
      <x:c r="D10" t="str">
        <x:v>Must be strictly positive</x:v>
      </x:c>
    </x:row>
    <x:row r="11">
      <x:c r="A11" t="str">
        <x:v>Nonmultiple purchase quantities</x:v>
      </x:c>
      <x:c r="B11" t="n">
        <x:f>SUM(IF(MOD('Forecast &amp; Reorder'!M5,'SKU Master'!H5)&lt;&gt;0,1,0),IF(MOD('Forecast &amp; Reorder'!M6,'SKU Master'!H6)&lt;&gt;0,1,0),IF(MOD('Forecast &amp; Reorder'!M7,'SKU Master'!H7)&lt;&gt;0,1,0),IF(MOD('Forecast &amp; Reorder'!M8,'SKU Master'!H8)&lt;&gt;0,1,0),IF(MOD('Forecast &amp; Reorder'!M9,'SKU Master'!H9)&lt;&gt;0,1,0),IF(MOD('Forecast &amp; Reorder'!M10,'SKU Master'!H10)&lt;&gt;0,1,0),IF(MOD('Forecast &amp; Reorder'!M11,'SKU Master'!H11)&lt;&gt;0,1,0),IF(MOD('Forecast &amp; Reorder'!M12,'SKU Master'!H12)&lt;&gt;0,1,0),IF(MOD('Forecast &amp; Reorder'!M13,'SKU Master'!H13)&lt;&gt;0,1,0),IF(MOD('Forecast &amp; Reorder'!M14,'SKU Master'!H14)&lt;&gt;0,1,0),IF(MOD('Forecast &amp; Reorder'!M15,'SKU Master'!H15)&lt;&gt;0,1,0),IF(MOD('Forecast &amp; Reorder'!M16,'SKU Master'!H16)&lt;&gt;0,1,0),IF(MOD('Forecast &amp; Reorder'!M17,'SKU Master'!H17)&lt;&gt;0,1,0),IF(MOD('Forecast &amp; Reorder'!M18,'SKU Master'!H18)&lt;&gt;0,1,0),IF(MOD('Forecast &amp; Reorder'!M19,'SKU Master'!H19)&lt;&gt;0,1,0),IF(MOD('Forecast &amp; Reorder'!M20,'SKU Master'!H20)&lt;&gt;0,1,0),IF(MOD('Forecast &amp; Reorder'!M21,'SKU Master'!H21)&lt;&gt;0,1,0),IF(MOD('Forecast &amp; Reorder'!M22,'SKU Master'!H22)&lt;&gt;0,1,0),IF(MOD('Forecast &amp; Reorder'!M23,'SKU Master'!H23)&lt;&gt;0,1,0),IF(MOD('Forecast &amp; Reorder'!M24,'SKU Master'!H24)&lt;&gt;0,1,0),IF(MOD('Forecast &amp; Reorder'!M25,'SKU Master'!H25)&lt;&gt;0,1,0),IF(MOD('Forecast &amp; Reorder'!M26,'SKU Master'!H26)&lt;&gt;0,1,0),IF(MOD('Forecast &amp; Reorder'!M27,'SKU Master'!H27)&lt;&gt;0,1,0),IF(MOD('Forecast &amp; Reorder'!M28,'SKU Master'!H28)&lt;&gt;0,1,0),IF(MOD('Forecast &amp; Reorder'!M29,'SKU Master'!H29)&lt;&gt;0,1,0),IF(MOD('Forecast &amp; Reorder'!M30,'SKU Master'!H30)&lt;&gt;0,1,0),IF(MOD('Forecast &amp; Reorder'!M31,'SKU Master'!H31)&lt;&gt;0,1,0),IF(MOD('Forecast &amp; Reorder'!M32,'SKU Master'!H32)&lt;&gt;0,1,0),IF(MOD('Forecast &amp; Reorder'!M33,'SKU Master'!H33)&lt;&gt;0,1,0),IF(MOD('Forecast &amp; Reorder'!M34,'SKU Master'!H34)&lt;&gt;0,1,0))</x:f>
        <x:v>0</x:v>
      </x:c>
      <x:c r="C11" t="n">
        <x:v>0</x:v>
      </x:c>
      <x:c r="D11" t="str">
        <x:v>Supplier case-pack compliance</x:v>
      </x:c>
    </x:row>
    <x:row r="12">
      <x:c r="A12" t="str">
        <x:v>Unfunded negative unit margin</x:v>
      </x:c>
      <x:c r="B12" t="n">
        <x:f>SUMPRODUCT(--('SKU Master'!F5:F34&lt;'SKU Master'!E5:E34))</x:f>
        <x:v>0</x:v>
      </x:c>
      <x:c r="C12" t="n">
        <x:v>0</x:v>
      </x:c>
      <x:c r="D12" t="str">
        <x:v>Selling price below unit cost</x:v>
      </x:c>
    </x:row>
    <x:row r="13">
      <x:c r="A13" t="str">
        <x:v>Active SKUs without demand</x:v>
      </x:c>
      <x:c r="B13" t="n">
        <x:f>COUNTIFS('SKU Master'!J5:J34,"Yes",'Sales History'!N5:N34,0)</x:f>
        <x:v>0</x:v>
      </x:c>
      <x:c r="C13" t="n">
        <x:v>0</x:v>
      </x:c>
      <x:c r="D13" t="str">
        <x:v>Active items with zero trailing-year demand</x:v>
      </x:c>
    </x:row>
    <x:row r="14">
      <x:c r="A14" t="str">
        <x:v>Expiry units exceed on-hand</x:v>
      </x:c>
      <x:c r="B14" t="n">
        <x:f>SUMPRODUCT(--(Inventory!F5:F34&gt;Inventory!B5:B34))</x:f>
        <x:v>0</x:v>
      </x:c>
      <x:c r="C14" t="n">
        <x:v>0</x:v>
      </x:c>
      <x:c r="D14" t="str">
        <x:v>Expiry-exposed stock cannot exceed physical stock</x:v>
      </x:c>
    </x:row>
    <x:row r="15">
      <x:c r="A15" t="str">
        <x:v>Invalid unit costs / prices</x:v>
      </x:c>
      <x:c r="B15" t="n">
        <x:f>COUNTIF('SKU Master'!E5:F34,"&lt;0")</x:f>
        <x:v>0</x:v>
      </x:c>
      <x:c r="C15" t="n">
        <x:v>0</x:v>
      </x:c>
      <x:c r="D15" t="str">
        <x:v>Unit costs and selling prices must be nonnegative</x:v>
      </x:c>
    </x:row>
    <x:row r="16">
      <x:c r="A16"/>
      <x:c r="B16" s="31"/>
    </x:row>
    <x:row r="17">
      <x:c r="A17" s="57" t="str">
        <x:v>Overall model status</x:v>
      </x:c>
      <x:c r="B17" s="57" t="str">
        <x:f>IF(SUM(B5:B15)=0,"PASS","REVIEW REQUIRED")</x:f>
        <x:v>PASS</x:v>
      </x:c>
    </x:row>
  </x:sheetData>
  <x:mergeCells>
    <x:mergeCell ref="A1:F2"/>
  </x:mergeCells>
  <x:conditionalFormatting sqref="B5:B13">
    <x:cfRule type="cellIs" dxfId="4" priority="1" operator="greater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7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5" customHeight="1">
      <x:c r="A1" s="3" t="str">
        <x:v>OPERATING POLICY  |  Editable model parameters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4" ht="35" customHeight="1">
      <x:c r="A4" s="9" t="str">
        <x:v>Parameter</x:v>
      </x:c>
      <x:c r="B4" s="9" t="str">
        <x:v>Value</x:v>
      </x:c>
      <x:c r="C4" s="9" t="str">
        <x:v>Definition</x:v>
      </x:c>
    </x:row>
    <x:row r="5">
      <x:c r="A5" t="str">
        <x:v>Planning date</x:v>
      </x:c>
      <x:c r="B5" s="16" t="n">
        <x:v>46296</x:v>
      </x:c>
      <x:c r="C5" t="str">
        <x:v>Planning snapshot / first forecast month</x:v>
      </x:c>
    </x:row>
    <x:row r="6">
      <x:c r="A6" t="str">
        <x:v>Target coverage (months)</x:v>
      </x:c>
      <x:c r="B6" s="14" t="n">
        <x:v>5</x:v>
      </x:c>
      <x:c r="C6" t="str">
        <x:v>Default months of stock coverage (pre- and post-reorder)</x:v>
      </x:c>
    </x:row>
    <x:row r="7">
      <x:c r="A7" t="str">
        <x:v>Safety stock (months)</x:v>
      </x:c>
      <x:c r="B7" s="14" t="n">
        <x:v>0.75</x:v>
      </x:c>
      <x:c r="C7" t="str">
        <x:v>Additional buffer beyond target horizon</x:v>
      </x:c>
    </x:row>
    <x:row r="8">
      <x:c r="A8" t="str">
        <x:v>Review cadence (months)</x:v>
      </x:c>
      <x:c r="B8" s="14" t="n">
        <x:v>1</x:v>
      </x:c>
      <x:c r="C8" t="str">
        <x:v>Rolling monthly review</x:v>
      </x:c>
    </x:row>
    <x:row r="9">
      <x:c r="A9" t="str">
        <x:v>Forecast trend weight</x:v>
      </x:c>
      <x:c r="B9" s="18" t="n">
        <x:v>0.35</x:v>
      </x:c>
      <x:c r="C9" t="str">
        <x:v>Blend of last-3-month average with last-6-month average</x:v>
      </x:c>
    </x:row>
    <x:row r="10">
      <x:c r="A10" t="str">
        <x:v>Trend cap</x:v>
      </x:c>
      <x:c r="B10" s="18" t="n">
        <x:v>0.25</x:v>
      </x:c>
      <x:c r="C10" t="str">
        <x:v>Maximum relative up/down adjustment from baseline</x:v>
      </x:c>
    </x:row>
    <x:row r="11">
      <x:c r="A11" t="str">
        <x:v>Excess threshold (months)</x:v>
      </x:c>
      <x:c r="B11" s="14" t="n">
        <x:v>7</x:v>
      </x:c>
      <x:c r="C11" t="str">
        <x:v>Flag excessive on-hand coverage</x:v>
      </x:c>
    </x:row>
    <x:row r="12">
      <x:c r="A12" t="str">
        <x:v>Expiry alert (days)</x:v>
      </x:c>
      <x:c r="B12" s="14" t="n">
        <x:v>120</x:v>
      </x:c>
      <x:c r="C12" t="str">
        <x:v>Early warning for expiring stock</x:v>
      </x:c>
    </x:row>
    <x:row r="15">
      <x:c r="A15" s="20" t="str">
        <x:v>MODEL CONVENTIONS</x:v>
      </x:c>
      <x:c r="B15" s="20" t="str"/>
      <x:c r="C15" s="20" t="str"/>
    </x:row>
    <x:row r="16">
      <x:c r="A16" t="str">
        <x:v>Currency</x:v>
      </x:c>
      <x:c r="B16" t="str">
        <x:v>USD</x:v>
      </x:c>
      <x:c r="C16" t="str">
        <x:v>Illustrative commercial inventory data; values are synthetic</x:v>
      </x:c>
    </x:row>
    <x:row r="17">
      <x:c r="A17" t="str">
        <x:v>Lead time</x:v>
      </x:c>
      <x:c r="B17" t="str">
        <x:v>Days</x:v>
      </x:c>
      <x:c r="C17" t="str">
        <x:v>Stock demand during supplier lead time is explicitly reserved</x:v>
      </x:c>
    </x:row>
    <x:row r="18">
      <x:c r="A18" t="str">
        <x:v>Reorder method</x:v>
      </x:c>
      <x:c r="B18" t="str">
        <x:v>Order-up-to</x:v>
      </x:c>
      <x:c r="C18" t="str">
        <x:v>Target horizon + safety stock + lead time demand − on-hand − inbound + backlog</x:v>
      </x:c>
    </x:row>
    <x:row r="19">
      <x:c r="A19" t="str">
        <x:v>Quantity rounding</x:v>
      </x:c>
      <x:c r="B19" t="str">
        <x:v>Case packs</x:v>
      </x:c>
      <x:c r="C19" t="str">
        <x:v>Recommended buy rounded UP to the supplier pack multiple</x:v>
      </x:c>
    </x:row>
  </x:sheetData>
  <x:mergeCells>
    <x:mergeCell ref="A1:F2"/>
  </x:mergeCells>
  <x:pageMargins left="0.7" right="0.7" top="0.75" bottom="0.75" header="0.3" footer="0.3"/>
</x:worksheet>
</file>